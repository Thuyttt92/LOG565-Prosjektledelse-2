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studhimolde.sharepoint.com/sites/PKogBIP/Delte dokumenter/001 Subjects/LOG565 Prosjekledelse 2/2025/Magical Devices/"/>
    </mc:Choice>
  </mc:AlternateContent>
  <xr:revisionPtr revIDLastSave="1" documentId="13_ncr:1_{CBEE377C-0A5D-4516-B620-994EEE1BFFAD}" xr6:coauthVersionLast="47" xr6:coauthVersionMax="47" xr10:uidLastSave="{D5F95D49-FE3B-47DF-BC9A-6549F4DC8E12}"/>
  <bookViews>
    <workbookView xWindow="-108" yWindow="-108" windowWidth="46296" windowHeight="25536" tabRatio="500" xr2:uid="{00000000-000D-0000-FFFF-FFFF00000000}"/>
  </bookViews>
  <sheets>
    <sheet name="Risk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L9" i="1" l="1"/>
  <c r="K9" i="1"/>
  <c r="M9" i="1" s="1"/>
  <c r="G9" i="1"/>
  <c r="F9" i="1"/>
  <c r="H9" i="1" s="1"/>
  <c r="K8" i="1" l="1"/>
  <c r="K15" i="1"/>
  <c r="K12" i="1"/>
  <c r="K14" i="1"/>
  <c r="K13" i="1"/>
  <c r="K16" i="1"/>
  <c r="K11" i="1"/>
  <c r="K10" i="1"/>
  <c r="F8" i="1"/>
  <c r="F15" i="1"/>
  <c r="F12" i="1"/>
  <c r="F14" i="1"/>
  <c r="F13" i="1"/>
  <c r="F16" i="1"/>
  <c r="F11" i="1"/>
  <c r="F10" i="1"/>
  <c r="G8" i="1" l="1"/>
  <c r="H8" i="1"/>
  <c r="G15" i="1"/>
  <c r="H15" i="1"/>
  <c r="G12" i="1"/>
  <c r="H12" i="1"/>
  <c r="G14" i="1"/>
  <c r="H14" i="1"/>
  <c r="G13" i="1"/>
  <c r="H13" i="1"/>
  <c r="G16" i="1"/>
  <c r="H16" i="1"/>
  <c r="G11" i="1"/>
  <c r="H11" i="1"/>
  <c r="G10" i="1"/>
  <c r="H10" i="1"/>
  <c r="G4" i="1"/>
  <c r="G3" i="1"/>
  <c r="G2" i="1"/>
  <c r="H18" i="1" l="1"/>
  <c r="G18" i="1"/>
  <c r="L8" i="1"/>
  <c r="M8" i="1"/>
  <c r="L15" i="1"/>
  <c r="M15" i="1"/>
  <c r="L12" i="1"/>
  <c r="M12" i="1"/>
  <c r="L14" i="1"/>
  <c r="M14" i="1"/>
  <c r="L13" i="1"/>
  <c r="M13" i="1"/>
  <c r="L16" i="1"/>
  <c r="M16" i="1"/>
  <c r="L11" i="1"/>
  <c r="M11" i="1"/>
  <c r="L10" i="1"/>
  <c r="M10" i="1"/>
  <c r="L4" i="1"/>
  <c r="L3" i="1"/>
  <c r="L2" i="1"/>
  <c r="L18" i="1" l="1"/>
  <c r="M18" i="1"/>
</calcChain>
</file>

<file path=xl/sharedStrings.xml><?xml version="1.0" encoding="utf-8"?>
<sst xmlns="http://schemas.openxmlformats.org/spreadsheetml/2006/main" count="96" uniqueCount="82">
  <si>
    <t>Risk Register For Project:</t>
  </si>
  <si>
    <t>Project Manager:</t>
  </si>
  <si>
    <t>Version Date:</t>
  </si>
  <si>
    <t>Risk</t>
  </si>
  <si>
    <t>$K</t>
  </si>
  <si>
    <t>P x T</t>
  </si>
  <si>
    <t>P x $K</t>
  </si>
  <si>
    <t>Owner</t>
  </si>
  <si>
    <t>Trigger</t>
  </si>
  <si>
    <t>Response Plan</t>
  </si>
  <si>
    <t>Resolution Date</t>
  </si>
  <si>
    <t>Use</t>
  </si>
  <si>
    <t>RISKS (MORE):  If you insert rows for more risks, make sure you copy the formulas from an existing row into the PxT and PX$ columns.</t>
  </si>
  <si>
    <t>RISKS (LESS):  You can delete rows if not needed.</t>
  </si>
  <si>
    <t>Risk Statement</t>
  </si>
  <si>
    <t>Backup Plan</t>
  </si>
  <si>
    <t>Personnel indicate their work start time will be delayed due to other priorities.</t>
  </si>
  <si>
    <t>Manufacturing Integration Incompatibilities</t>
  </si>
  <si>
    <t>Team Turnover</t>
  </si>
  <si>
    <t>Resource Unavailability</t>
  </si>
  <si>
    <t>Security Certification Issues</t>
  </si>
  <si>
    <t>Project not started, risk has not yet appeared.</t>
  </si>
  <si>
    <t>Procurement Delays</t>
  </si>
  <si>
    <t>Scope Changes</t>
  </si>
  <si>
    <t>Design reviews of prototypes, mockups, and walkthroughs identify missing or incorrect scope.</t>
  </si>
  <si>
    <t>Operational Surprises</t>
  </si>
  <si>
    <t>Inspection of devices from initial production runs identify issues.</t>
  </si>
  <si>
    <t>Software Development Issues</t>
  </si>
  <si>
    <t>Status burndown charts of early sprints indicate the planned schedule is not achievable.</t>
  </si>
  <si>
    <t>Magical Devices Version 3 (MDV3)</t>
  </si>
  <si>
    <t>SECONDARY RISKS:  For larger projects you sometimes also include secondary risks, the risks to the response plan solutions.</t>
  </si>
  <si>
    <t>Mary Sperling, System Lead</t>
  </si>
  <si>
    <t>Lucy Pevensie, President</t>
  </si>
  <si>
    <t>Kong Qui, Business Process Lead</t>
  </si>
  <si>
    <t>Son Goku, QA Lead</t>
  </si>
  <si>
    <t>Byomkesh Bakshi, Software Lead</t>
  </si>
  <si>
    <t>• Add a dedicated interface resolution team to work in parallel to mainline project work to resolve issues as fast as possible.</t>
  </si>
  <si>
    <t>• Have President re-emphasize to the organization that this project is the first priority.</t>
  </si>
  <si>
    <t>• Turn to secondary suppliers and order required items with payments for expedited delivery.</t>
  </si>
  <si>
    <t>• Perform a scope analysis to see if there is any non-essential second priority scope that can be removed from the project, or implemented in a later follow-on project, to avoid increasing this project's schedule and budget and delaying facility opening.</t>
  </si>
  <si>
    <t>• Establish a fully staffed and dedicated design, build, and operations team to provide rapid reaction remediation solutions.</t>
  </si>
  <si>
    <t>Before Response Planning</t>
  </si>
  <si>
    <t>After Response Planning</t>
  </si>
  <si>
    <t>CODING:  White cells are for user entry, gray cells are for results.</t>
  </si>
  <si>
    <t>P%</t>
  </si>
  <si>
    <t>T (d)</t>
  </si>
  <si>
    <t>BEFORE &amp; AFTER RESPONSE PLANNING:  This register shows the risk calculations for both before and after response planning, so management can see how much the risks improved during project planning.  As the project progresses, it is common to hide the columns for before planning, or make a copy of this sheet and then delete those columns in the working copy used as execution proceeds.</t>
  </si>
  <si>
    <t>Shipment and delivery tracking indicate delays.</t>
  </si>
  <si>
    <t>SECOND LAST ROW:  The second last row, above the last row Total Risk Budget, is blank, so the register can be sorted, for example by the After Risk Planning column Px$, without affecting the last row.</t>
  </si>
  <si>
    <t xml:space="preserve"> Total Risk Budget:</t>
  </si>
  <si>
    <t>Magic Dust Availability</t>
  </si>
  <si>
    <t>If unexpected issues are revealed once the system is in actual operation, potentially difficult fixes and retrofits might be required delaying full production, increasing the project schedule and budget.</t>
  </si>
  <si>
    <t>If team members do not find the project and organization sufficiently rewarding and enjoyable, they might leave for other opportunities, increasing the project schedule and budget.</t>
  </si>
  <si>
    <t>If the interfaces between the new set of complex and innovative equipment are not completely compatible, there will be additional integration work required, increasing the project schedule and budget.</t>
  </si>
  <si>
    <t>If there is not sufficient magic dust available to complete integration of the equipment, the hardware builds will not be able to proceed, increasing the project schedule and budget.</t>
  </si>
  <si>
    <t>Suppliers cannot commit to delivery dates when ordering.</t>
  </si>
  <si>
    <t>Three backup suppliers have been identified, and sufficient research done to preliminarily qualify them as potential candidates should our regular suppliers be unable to fulfill our orders for any reason.</t>
  </si>
  <si>
    <t>20YY-MM-DD</t>
  </si>
  <si>
    <t xml:space="preserve">If the manufacturing system does not meet all requirements of the Magical Management Institute standard Secure Device Manufacturing &amp; Operations (MMI-321123-G), the security certification will be delayed, preventing opening of the facility, startup of production, and delaying availability of the devices on the market. </t>
  </si>
  <si>
    <t>• Identify former directors, board members, and senior consultants from the Magical Management Institute and retain them analyze any issues and oversee the resolutions.</t>
  </si>
  <si>
    <t>If the software development effort is not accurately planned, estimated, and sufficiently staffed, the software development schedule will extend, increasing the project schedule and budget.</t>
  </si>
  <si>
    <t>• The software development team incorporated all the lessons of the Magical Devices Version 2 project to prepare realistic estimates and plans for Version 3.
• The version 3 software is building on the near feature complete prototypes developed by the R&amp;D projects over the couple years.
• Detailed software requirements are documented and development planning is conducted before design begins.
• Several iterations of design are conducted before build commences.
• Five sprints are planned, each incorporating testing and documentation, in addition to separate QA test cycles.</t>
  </si>
  <si>
    <t>• Increase the software development team by dedicating the research and development personnel to the project until complete.
• Review the software scope to see if there is any non-essential second priority scope that can be removed from the project or implemented in a later follow-on project.</t>
  </si>
  <si>
    <t>The first build focusing on integration testing surfaces issues.</t>
  </si>
  <si>
    <t>• Use only industry standard and proven interfaces.
• The first hardware build will test interfaces for early validation.</t>
  </si>
  <si>
    <t>Dissatisfaction is expressed to team leads or HR.</t>
  </si>
  <si>
    <t>• Human resources department to pro-actively establish channels to sources of qualified personnel, prepared to recruit new staff on very short notice with very attractive hiring packages.</t>
  </si>
  <si>
    <t>• Empower the team and reward initiative.
• Provide competitive salary and benefits.
• Provide sincere recognition and appreciation of effort.
• Continue regular team-building including monthly lunches and quarterly off-site events.</t>
  </si>
  <si>
    <t>If the cost and schedule driving scope is not completely identified before project execution begins, it will be discovered once design and build are underway requiring significant replanning, increasing the project schedule and budget.</t>
  </si>
  <si>
    <t>• Professional business analysts were used to identify all cost and schedule driving project requirements during planning.
• Business process gap analysis is one of the early activities in the schedule.
• Detailed requirements documents will be prepared and reviewed before each phase of design commences.
• All design and build proceeds in several agile iterations to identify any problems and enable response at the earliest possible point.</t>
  </si>
  <si>
    <t>Cathy Kerr, Security Lead</t>
  </si>
  <si>
    <t>Dry-run security testing during the system build testing surfaces issues.</t>
  </si>
  <si>
    <t>If the hardware equipment does not arrive on the expected schedule, the builds will not be able to proceed, increasing the project schedule and budget.</t>
  </si>
  <si>
    <t>• Early notification of all hardware procurement requirements will be provided as the design phases progress, so the procurement department can proactively identify suppliers that can provide the items quickly once procurement commences.</t>
  </si>
  <si>
    <t>• As per the Scope Change risk, a great emphasis has been placed on early scope identification and agile iterative design and builds to minimize surprises.
• Each of the three production phases will first go through a low production run pilot.</t>
  </si>
  <si>
    <t>If personnel are not dedicated full-time to this project, they might be unavailable when required due to work on other projects, increasing the project schedule and budget.</t>
  </si>
  <si>
    <t>• The President has indicated to all department heads that this project is the first priority for the organization, and personnel must be allocated full-time when required.</t>
  </si>
  <si>
    <t>• Dry-run testing of the security test procedures is incorporated as part of the system build testing to obtain early warning and resolution.
• The leading consulting company Magical Security Certification Assurance Inc. will be retained to analyze the design and review the early builds to identify any issues and ensure proactive resolution.
• Pilot production periods are built into all phase rollouts to enable any unexpected issues to be addressed before full production.</t>
  </si>
  <si>
    <t>• An advance order for 70% of the amount of magic dust anticipated to be required shall be made with our standard suppliers on the first day of execution of the project.
• The remainder shall be ordered as the first step in hardware procurement.
• An additional 15% was added to the planned costs to enable payment to suppliers for expedited delivery should it be needed.</t>
  </si>
  <si>
    <t>Charles Wallace</t>
  </si>
  <si>
    <t>Charles Wallace, Project Manager</t>
  </si>
  <si>
    <t>Andre Young, Hardware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</si>
</sst>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0"/>
      <name val="Verdana"/>
      <family val="2"/>
    </font>
    <font>
      <b/>
      <i/>
      <sz val="16"/>
      <name val="Verdana"/>
      <family val="2"/>
    </font>
    <font>
      <b/>
      <sz val="10"/>
      <name val="Verdana"/>
      <family val="2"/>
    </font>
    <font>
      <b/>
      <u/>
      <sz val="10"/>
      <name val="Verdana"/>
      <family val="2"/>
    </font>
  </fonts>
  <fills count="5">
    <fill>
      <patternFill patternType="none"/>
    </fill>
    <fill>
      <patternFill patternType="gray125"/>
    </fill>
    <fill>
      <patternFill patternType="solid">
        <fgColor rgb="FFFFFFFF"/>
        <bgColor rgb="FFEEEEEE"/>
      </patternFill>
    </fill>
    <fill>
      <patternFill patternType="solid">
        <fgColor rgb="FFEAEAEA"/>
        <bgColor rgb="FFCCFFFF"/>
      </patternFill>
    </fill>
    <fill>
      <patternFill patternType="solid">
        <fgColor rgb="FFEAEAEA"/>
        <bgColor rgb="FFFFFFFF"/>
      </patternFill>
    </fill>
  </fills>
  <borders count="14">
    <border>
      <left/>
      <right/>
      <top/>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auto="1"/>
      </right>
      <top/>
      <bottom/>
      <diagonal/>
    </border>
    <border>
      <left style="hair">
        <color auto="1"/>
      </left>
      <right style="thin">
        <color indexed="64"/>
      </right>
      <top/>
      <bottom/>
      <diagonal/>
    </border>
    <border>
      <left style="thin">
        <color indexed="64"/>
      </left>
      <right style="hair">
        <color auto="1"/>
      </right>
      <top style="thin">
        <color indexed="64"/>
      </top>
      <bottom/>
      <diagonal/>
    </border>
    <border>
      <left style="hair">
        <color auto="1"/>
      </left>
      <right style="hair">
        <color auto="1"/>
      </right>
      <top style="thin">
        <color indexed="64"/>
      </top>
      <bottom/>
      <diagonal/>
    </border>
    <border>
      <left style="hair">
        <color auto="1"/>
      </left>
      <right style="thin">
        <color indexed="64"/>
      </right>
      <top style="thin">
        <color indexed="64"/>
      </top>
      <bottom/>
      <diagonal/>
    </border>
    <border>
      <left style="thin">
        <color indexed="64"/>
      </left>
      <right style="hair">
        <color auto="1"/>
      </right>
      <top/>
      <bottom style="thin">
        <color indexed="64"/>
      </bottom>
      <diagonal/>
    </border>
    <border>
      <left style="hair">
        <color auto="1"/>
      </left>
      <right style="hair">
        <color auto="1"/>
      </right>
      <top/>
      <bottom style="thin">
        <color indexed="64"/>
      </bottom>
      <diagonal/>
    </border>
    <border>
      <left style="hair">
        <color auto="1"/>
      </left>
      <right style="thin">
        <color indexed="64"/>
      </right>
      <top/>
      <bottom style="thin">
        <color indexed="64"/>
      </bottom>
      <diagonal/>
    </border>
  </borders>
  <cellStyleXfs count="2">
    <xf numFmtId="0" fontId="0" fillId="0" borderId="0"/>
    <xf numFmtId="0" fontId="1" fillId="0" borderId="0" applyBorder="0" applyProtection="0">
      <alignment horizontal="center" textRotation="90"/>
    </xf>
  </cellStyleXfs>
  <cellXfs count="47">
    <xf numFmtId="0" fontId="0" fillId="0" borderId="0" xfId="0"/>
    <xf numFmtId="0" fontId="0" fillId="2" borderId="2" xfId="0" applyFill="1" applyBorder="1" applyAlignment="1">
      <alignment horizontal="left" vertical="top" wrapText="1"/>
    </xf>
    <xf numFmtId="9" fontId="0" fillId="2" borderId="2" xfId="0" applyNumberFormat="1" applyFill="1" applyBorder="1" applyAlignment="1">
      <alignment horizontal="right" vertical="top" wrapText="1"/>
    </xf>
    <xf numFmtId="0" fontId="0" fillId="2" borderId="2" xfId="0" applyFill="1" applyBorder="1" applyAlignment="1">
      <alignment horizontal="right" vertical="top" wrapText="1"/>
    </xf>
    <xf numFmtId="164" fontId="0" fillId="2" borderId="2" xfId="0" applyNumberFormat="1" applyFill="1" applyBorder="1" applyAlignment="1">
      <alignment horizontal="right" vertical="top" wrapText="1"/>
    </xf>
    <xf numFmtId="0" fontId="0" fillId="2" borderId="0" xfId="0" applyFill="1"/>
    <xf numFmtId="0" fontId="0" fillId="2" borderId="0" xfId="0" applyFill="1" applyAlignment="1">
      <alignment vertical="top"/>
    </xf>
    <xf numFmtId="0" fontId="0" fillId="0" borderId="0" xfId="0" applyAlignment="1">
      <alignment vertical="top"/>
    </xf>
    <xf numFmtId="0" fontId="0" fillId="2" borderId="2" xfId="0" applyFill="1" applyBorder="1"/>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9" fontId="0" fillId="2" borderId="4" xfId="0" applyNumberFormat="1" applyFill="1" applyBorder="1" applyAlignment="1">
      <alignment horizontal="right" vertical="top" wrapText="1"/>
    </xf>
    <xf numFmtId="0" fontId="0" fillId="2" borderId="4" xfId="0" applyFill="1" applyBorder="1" applyAlignment="1">
      <alignment horizontal="right" vertical="top" wrapText="1"/>
    </xf>
    <xf numFmtId="164" fontId="0" fillId="2" borderId="5" xfId="0" applyNumberFormat="1" applyFill="1" applyBorder="1" applyAlignment="1">
      <alignment horizontal="right" vertical="top" wrapText="1"/>
    </xf>
    <xf numFmtId="0" fontId="0" fillId="2" borderId="5" xfId="0" applyFill="1" applyBorder="1" applyAlignment="1">
      <alignment horizontal="left" vertical="top" wrapText="1"/>
    </xf>
    <xf numFmtId="0" fontId="2" fillId="3" borderId="2" xfId="0" applyFont="1" applyFill="1" applyBorder="1" applyAlignment="1">
      <alignment horizontal="center"/>
    </xf>
    <xf numFmtId="0" fontId="2" fillId="3" borderId="2" xfId="0" applyFont="1" applyFill="1" applyBorder="1" applyAlignment="1">
      <alignment wrapText="1"/>
    </xf>
    <xf numFmtId="0" fontId="2" fillId="3" borderId="2" xfId="0" applyFont="1" applyFill="1" applyBorder="1"/>
    <xf numFmtId="0" fontId="0" fillId="3" borderId="2" xfId="0" applyFill="1" applyBorder="1" applyAlignment="1">
      <alignment horizontal="right" vertical="top" wrapText="1"/>
    </xf>
    <xf numFmtId="164" fontId="0" fillId="3" borderId="2" xfId="0" applyNumberFormat="1" applyFill="1" applyBorder="1" applyAlignment="1">
      <alignment horizontal="right" vertical="top" wrapText="1"/>
    </xf>
    <xf numFmtId="0" fontId="2" fillId="3" borderId="3" xfId="0" applyFont="1" applyFill="1" applyBorder="1" applyAlignment="1">
      <alignment horizontal="left"/>
    </xf>
    <xf numFmtId="0" fontId="2" fillId="3" borderId="4" xfId="0" applyFont="1" applyFill="1" applyBorder="1" applyAlignment="1">
      <alignment horizontal="left"/>
    </xf>
    <xf numFmtId="9" fontId="0" fillId="3" borderId="4" xfId="0" applyNumberForma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0" fontId="2" fillId="3" borderId="2" xfId="0" applyFont="1" applyFill="1" applyBorder="1" applyAlignment="1">
      <alignment horizontal="right"/>
    </xf>
    <xf numFmtId="164" fontId="2" fillId="3" borderId="2" xfId="0" applyNumberFormat="1" applyFont="1" applyFill="1" applyBorder="1" applyAlignment="1">
      <alignment horizontal="right"/>
    </xf>
    <xf numFmtId="164" fontId="2" fillId="3" borderId="3" xfId="0" applyNumberFormat="1" applyFont="1" applyFill="1" applyBorder="1" applyAlignment="1">
      <alignment horizontal="right"/>
    </xf>
    <xf numFmtId="164" fontId="2" fillId="3" borderId="4" xfId="0" applyNumberFormat="1" applyFont="1" applyFill="1" applyBorder="1" applyAlignment="1">
      <alignment horizontal="right"/>
    </xf>
    <xf numFmtId="0" fontId="0" fillId="3" borderId="4" xfId="0" applyFill="1" applyBorder="1" applyAlignment="1">
      <alignment horizontal="center"/>
    </xf>
    <xf numFmtId="0" fontId="0" fillId="3" borderId="4" xfId="0" applyFill="1" applyBorder="1"/>
    <xf numFmtId="0" fontId="0" fillId="3" borderId="5" xfId="0" applyFill="1" applyBorder="1"/>
    <xf numFmtId="0" fontId="0" fillId="4" borderId="11" xfId="0" applyFill="1" applyBorder="1" applyAlignment="1">
      <alignment wrapText="1"/>
    </xf>
    <xf numFmtId="0" fontId="0" fillId="4" borderId="12" xfId="0" applyFill="1" applyBorder="1" applyAlignment="1">
      <alignment wrapText="1"/>
    </xf>
    <xf numFmtId="0" fontId="0" fillId="4" borderId="13" xfId="0" applyFill="1" applyBorder="1" applyAlignment="1">
      <alignment wrapText="1"/>
    </xf>
    <xf numFmtId="0" fontId="0" fillId="4" borderId="6" xfId="0" applyFill="1" applyBorder="1" applyAlignment="1">
      <alignment wrapText="1"/>
    </xf>
    <xf numFmtId="0" fontId="0" fillId="4" borderId="1" xfId="0" applyFill="1" applyBorder="1" applyAlignment="1">
      <alignment wrapText="1"/>
    </xf>
    <xf numFmtId="0" fontId="0" fillId="4" borderId="7" xfId="0" applyFill="1" applyBorder="1" applyAlignment="1">
      <alignment wrapText="1"/>
    </xf>
    <xf numFmtId="0" fontId="0" fillId="4" borderId="8" xfId="0" applyFill="1" applyBorder="1" applyAlignment="1">
      <alignment wrapText="1"/>
    </xf>
    <xf numFmtId="0" fontId="0" fillId="4" borderId="9" xfId="0" applyFill="1" applyBorder="1" applyAlignment="1">
      <alignment wrapText="1"/>
    </xf>
    <xf numFmtId="0" fontId="0" fillId="4" borderId="10" xfId="0" applyFill="1" applyBorder="1" applyAlignment="1">
      <alignment wrapText="1"/>
    </xf>
    <xf numFmtId="0" fontId="3" fillId="4" borderId="6" xfId="0" applyFont="1" applyFill="1" applyBorder="1" applyAlignment="1">
      <alignment wrapText="1"/>
    </xf>
    <xf numFmtId="0" fontId="3" fillId="4" borderId="1" xfId="0" applyFont="1" applyFill="1" applyBorder="1" applyAlignment="1">
      <alignment wrapText="1"/>
    </xf>
    <xf numFmtId="0" fontId="3" fillId="4" borderId="7" xfId="0" applyFont="1" applyFill="1" applyBorder="1" applyAlignment="1">
      <alignment wrapText="1"/>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cellXfs>
  <cellStyles count="2">
    <cellStyle name="Forklarende teks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EEE"/>
      <rgbColor rgb="FFCDE6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0"/>
  <sheetViews>
    <sheetView showZeros="0" tabSelected="1" zoomScaleNormal="100" workbookViewId="0">
      <selection sqref="A1:XFD10"/>
    </sheetView>
  </sheetViews>
  <sheetFormatPr baseColWidth="10" defaultColWidth="8.7265625" defaultRowHeight="12.6" x14ac:dyDescent="0.2"/>
  <cols>
    <col min="1" max="1" width="3.36328125" customWidth="1"/>
    <col min="2" max="2" width="25.453125" customWidth="1"/>
    <col min="3" max="3" width="33.7265625" customWidth="1"/>
    <col min="4" max="7" width="8.36328125" customWidth="1"/>
    <col min="8" max="8" width="9.6328125" customWidth="1"/>
    <col min="9" max="12" width="8.36328125" customWidth="1"/>
    <col min="13" max="13" width="9.6328125" customWidth="1"/>
    <col min="14" max="15" width="15.90625" customWidth="1"/>
    <col min="16" max="16" width="41.6328125" customWidth="1"/>
    <col min="17" max="17" width="28.36328125" customWidth="1"/>
    <col min="18" max="18" width="15.90625" customWidth="1"/>
    <col min="19" max="1030" width="10.08984375" customWidth="1"/>
  </cols>
  <sheetData>
    <row r="1" spans="1:19" ht="15.9" customHeight="1" x14ac:dyDescent="0.2">
      <c r="A1" s="5"/>
      <c r="B1" s="5"/>
      <c r="C1" s="5"/>
      <c r="D1" s="5"/>
      <c r="E1" s="5"/>
      <c r="F1" s="5"/>
      <c r="G1" s="5"/>
      <c r="H1" s="5"/>
      <c r="I1" s="5"/>
      <c r="J1" s="5"/>
      <c r="K1" s="5"/>
      <c r="L1" s="5"/>
      <c r="M1" s="5"/>
      <c r="N1" s="5"/>
      <c r="O1" s="5"/>
      <c r="P1" s="5"/>
      <c r="Q1" s="5"/>
      <c r="R1" s="5"/>
      <c r="S1" s="5"/>
    </row>
    <row r="2" spans="1:19" ht="15.9" customHeight="1" x14ac:dyDescent="0.2">
      <c r="A2" s="5"/>
      <c r="B2" s="16" t="s">
        <v>0</v>
      </c>
      <c r="C2" s="8" t="s">
        <v>29</v>
      </c>
      <c r="D2" s="5"/>
      <c r="E2" s="5"/>
      <c r="F2" s="5"/>
      <c r="G2" s="5">
        <f>E2*5</f>
        <v>0</v>
      </c>
      <c r="H2" s="5"/>
      <c r="I2" s="5"/>
      <c r="J2" s="5"/>
      <c r="K2" s="5"/>
      <c r="L2" s="5">
        <f>J2*5</f>
        <v>0</v>
      </c>
      <c r="M2" s="5"/>
      <c r="N2" s="5"/>
      <c r="O2" s="5"/>
      <c r="P2" s="5"/>
      <c r="Q2" s="5"/>
      <c r="R2" s="5"/>
      <c r="S2" s="5"/>
    </row>
    <row r="3" spans="1:19" ht="15.9" customHeight="1" x14ac:dyDescent="0.2">
      <c r="A3" s="5"/>
      <c r="B3" s="16" t="s">
        <v>1</v>
      </c>
      <c r="C3" s="8" t="s">
        <v>79</v>
      </c>
      <c r="D3" s="5"/>
      <c r="E3" s="5"/>
      <c r="F3" s="5"/>
      <c r="G3" s="5">
        <f>E3*5</f>
        <v>0</v>
      </c>
      <c r="H3" s="5"/>
      <c r="I3" s="5"/>
      <c r="J3" s="5"/>
      <c r="K3" s="5"/>
      <c r="L3" s="5">
        <f>J3*5</f>
        <v>0</v>
      </c>
      <c r="M3" s="5"/>
      <c r="N3" s="5"/>
      <c r="O3" s="5"/>
      <c r="P3" s="5"/>
      <c r="Q3" s="5"/>
      <c r="R3" s="5"/>
      <c r="S3" s="5"/>
    </row>
    <row r="4" spans="1:19" ht="15.9" customHeight="1" x14ac:dyDescent="0.2">
      <c r="A4" s="5"/>
      <c r="B4" s="17" t="s">
        <v>2</v>
      </c>
      <c r="C4" s="8" t="s">
        <v>57</v>
      </c>
      <c r="D4" s="5"/>
      <c r="E4" s="5"/>
      <c r="F4" s="5"/>
      <c r="G4" s="5">
        <f>E4*5</f>
        <v>0</v>
      </c>
      <c r="H4" s="5"/>
      <c r="I4" s="5"/>
      <c r="J4" s="5"/>
      <c r="K4" s="5"/>
      <c r="L4" s="5">
        <f>J4*5</f>
        <v>0</v>
      </c>
      <c r="M4" s="5"/>
      <c r="N4" s="5"/>
      <c r="O4" s="5"/>
      <c r="P4" s="5"/>
      <c r="Q4" s="5"/>
      <c r="R4" s="5"/>
      <c r="S4" s="5"/>
    </row>
    <row r="5" spans="1:19" ht="15.9" customHeight="1" x14ac:dyDescent="0.2">
      <c r="A5" s="5"/>
      <c r="B5" s="5"/>
      <c r="C5" s="5"/>
      <c r="D5" s="5"/>
      <c r="E5" s="5"/>
      <c r="F5" s="5"/>
      <c r="G5" s="5"/>
      <c r="H5" s="5"/>
      <c r="I5" s="5"/>
      <c r="J5" s="5"/>
      <c r="K5" s="5"/>
      <c r="L5" s="5"/>
      <c r="M5" s="5"/>
      <c r="N5" s="5"/>
      <c r="O5" s="5"/>
      <c r="P5" s="5"/>
      <c r="Q5" s="5"/>
      <c r="R5" s="5"/>
      <c r="S5" s="5"/>
    </row>
    <row r="6" spans="1:19" ht="15.9" customHeight="1" x14ac:dyDescent="0.2">
      <c r="A6" s="5"/>
      <c r="B6" s="5"/>
      <c r="C6" s="5"/>
      <c r="D6" s="44" t="s">
        <v>41</v>
      </c>
      <c r="E6" s="45"/>
      <c r="F6" s="45"/>
      <c r="G6" s="45"/>
      <c r="H6" s="46"/>
      <c r="I6" s="44" t="s">
        <v>42</v>
      </c>
      <c r="J6" s="45"/>
      <c r="K6" s="45"/>
      <c r="L6" s="45"/>
      <c r="M6" s="46"/>
      <c r="N6" s="5"/>
      <c r="O6" s="5"/>
      <c r="P6" s="5"/>
      <c r="Q6" s="5"/>
      <c r="R6" s="5"/>
      <c r="S6" s="5"/>
    </row>
    <row r="7" spans="1:19" ht="15.9" customHeight="1" x14ac:dyDescent="0.2">
      <c r="A7" s="5"/>
      <c r="B7" s="15" t="s">
        <v>3</v>
      </c>
      <c r="C7" s="15" t="s">
        <v>14</v>
      </c>
      <c r="D7" s="15" t="s">
        <v>44</v>
      </c>
      <c r="E7" s="15" t="s">
        <v>45</v>
      </c>
      <c r="F7" s="15" t="s">
        <v>4</v>
      </c>
      <c r="G7" s="15" t="s">
        <v>5</v>
      </c>
      <c r="H7" s="15" t="s">
        <v>6</v>
      </c>
      <c r="I7" s="15" t="s">
        <v>44</v>
      </c>
      <c r="J7" s="15" t="s">
        <v>45</v>
      </c>
      <c r="K7" s="15" t="s">
        <v>4</v>
      </c>
      <c r="L7" s="15" t="s">
        <v>5</v>
      </c>
      <c r="M7" s="15" t="s">
        <v>6</v>
      </c>
      <c r="N7" s="15" t="s">
        <v>7</v>
      </c>
      <c r="O7" s="15" t="s">
        <v>8</v>
      </c>
      <c r="P7" s="15" t="s">
        <v>9</v>
      </c>
      <c r="Q7" s="15" t="s">
        <v>15</v>
      </c>
      <c r="R7" s="15" t="s">
        <v>10</v>
      </c>
      <c r="S7" s="5"/>
    </row>
    <row r="8" spans="1:19" s="7" customFormat="1" ht="189" x14ac:dyDescent="0.2">
      <c r="A8" s="6"/>
      <c r="B8" s="1" t="s">
        <v>27</v>
      </c>
      <c r="C8" s="1" t="s">
        <v>60</v>
      </c>
      <c r="D8" s="2">
        <v>0.5</v>
      </c>
      <c r="E8" s="3">
        <v>40</v>
      </c>
      <c r="F8" s="4">
        <f t="shared" ref="F8:F16" si="0">E8*100</f>
        <v>4000</v>
      </c>
      <c r="G8" s="18">
        <f t="shared" ref="G8:G16" si="1">D8*E8</f>
        <v>20</v>
      </c>
      <c r="H8" s="19">
        <f t="shared" ref="H8:H16" si="2">D8*F8</f>
        <v>2000</v>
      </c>
      <c r="I8" s="2">
        <v>0.3</v>
      </c>
      <c r="J8" s="3">
        <v>30</v>
      </c>
      <c r="K8" s="4">
        <f t="shared" ref="K8:K16" si="3">J8*100</f>
        <v>3000</v>
      </c>
      <c r="L8" s="18">
        <f t="shared" ref="L8:L16" si="4">I8*J8</f>
        <v>9</v>
      </c>
      <c r="M8" s="19">
        <f t="shared" ref="M8:M16" si="5">I8*K8</f>
        <v>900</v>
      </c>
      <c r="N8" s="1" t="s">
        <v>35</v>
      </c>
      <c r="O8" s="1" t="s">
        <v>28</v>
      </c>
      <c r="P8" s="1" t="s">
        <v>61</v>
      </c>
      <c r="Q8" s="1" t="s">
        <v>62</v>
      </c>
      <c r="R8" s="1" t="s">
        <v>21</v>
      </c>
      <c r="S8" s="6"/>
    </row>
    <row r="9" spans="1:19" s="7" customFormat="1" ht="113.4" x14ac:dyDescent="0.2">
      <c r="A9" s="6"/>
      <c r="B9" s="1" t="s">
        <v>50</v>
      </c>
      <c r="C9" s="1" t="s">
        <v>54</v>
      </c>
      <c r="D9" s="2">
        <v>0.6</v>
      </c>
      <c r="E9" s="3">
        <v>60</v>
      </c>
      <c r="F9" s="4">
        <f t="shared" si="0"/>
        <v>6000</v>
      </c>
      <c r="G9" s="18">
        <f t="shared" ref="G9" si="6">D9*E9</f>
        <v>36</v>
      </c>
      <c r="H9" s="19">
        <f t="shared" ref="H9" si="7">D9*F9</f>
        <v>3600</v>
      </c>
      <c r="I9" s="2">
        <v>0.2</v>
      </c>
      <c r="J9" s="3">
        <v>40</v>
      </c>
      <c r="K9" s="4">
        <f t="shared" si="3"/>
        <v>4000</v>
      </c>
      <c r="L9" s="18">
        <f t="shared" ref="L9" si="8">I9*J9</f>
        <v>8</v>
      </c>
      <c r="M9" s="19">
        <f t="shared" ref="M9" si="9">I9*K9</f>
        <v>800</v>
      </c>
      <c r="N9" s="1" t="s">
        <v>81</v>
      </c>
      <c r="O9" s="1" t="s">
        <v>55</v>
      </c>
      <c r="P9" s="1" t="s">
        <v>78</v>
      </c>
      <c r="Q9" s="1" t="s">
        <v>56</v>
      </c>
      <c r="R9" s="1" t="s">
        <v>21</v>
      </c>
      <c r="S9" s="6"/>
    </row>
    <row r="10" spans="1:19" s="7" customFormat="1" ht="75.599999999999994" x14ac:dyDescent="0.2">
      <c r="A10" s="6"/>
      <c r="B10" s="1" t="s">
        <v>17</v>
      </c>
      <c r="C10" s="1" t="s">
        <v>53</v>
      </c>
      <c r="D10" s="2">
        <v>0.6</v>
      </c>
      <c r="E10" s="3">
        <v>40</v>
      </c>
      <c r="F10" s="4">
        <f t="shared" si="0"/>
        <v>4000</v>
      </c>
      <c r="G10" s="18">
        <f t="shared" si="1"/>
        <v>24</v>
      </c>
      <c r="H10" s="19">
        <f t="shared" si="2"/>
        <v>2400</v>
      </c>
      <c r="I10" s="2">
        <v>0.3</v>
      </c>
      <c r="J10" s="3">
        <v>25</v>
      </c>
      <c r="K10" s="4">
        <f t="shared" si="3"/>
        <v>2500</v>
      </c>
      <c r="L10" s="18">
        <f t="shared" si="4"/>
        <v>7.5</v>
      </c>
      <c r="M10" s="19">
        <f t="shared" si="5"/>
        <v>750</v>
      </c>
      <c r="N10" s="1" t="s">
        <v>31</v>
      </c>
      <c r="O10" s="1" t="s">
        <v>63</v>
      </c>
      <c r="P10" s="1" t="s">
        <v>64</v>
      </c>
      <c r="Q10" s="1" t="s">
        <v>36</v>
      </c>
      <c r="R10" s="1" t="s">
        <v>21</v>
      </c>
      <c r="S10" s="6"/>
    </row>
    <row r="11" spans="1:19" s="7" customFormat="1" ht="75.599999999999994" x14ac:dyDescent="0.2">
      <c r="A11" s="6"/>
      <c r="B11" s="1" t="s">
        <v>18</v>
      </c>
      <c r="C11" s="1" t="s">
        <v>52</v>
      </c>
      <c r="D11" s="2">
        <v>0.3</v>
      </c>
      <c r="E11" s="3">
        <v>30</v>
      </c>
      <c r="F11" s="4">
        <f t="shared" si="0"/>
        <v>3000</v>
      </c>
      <c r="G11" s="18">
        <f t="shared" si="1"/>
        <v>9</v>
      </c>
      <c r="H11" s="19">
        <f t="shared" si="2"/>
        <v>900</v>
      </c>
      <c r="I11" s="2">
        <v>0.2</v>
      </c>
      <c r="J11" s="3">
        <v>30</v>
      </c>
      <c r="K11" s="4">
        <f t="shared" si="3"/>
        <v>3000</v>
      </c>
      <c r="L11" s="18">
        <f t="shared" si="4"/>
        <v>6</v>
      </c>
      <c r="M11" s="19">
        <f t="shared" si="5"/>
        <v>600</v>
      </c>
      <c r="N11" s="1" t="s">
        <v>80</v>
      </c>
      <c r="O11" s="1" t="s">
        <v>65</v>
      </c>
      <c r="P11" s="1" t="s">
        <v>67</v>
      </c>
      <c r="Q11" s="1" t="s">
        <v>66</v>
      </c>
      <c r="R11" s="1" t="s">
        <v>21</v>
      </c>
      <c r="S11" s="6"/>
    </row>
    <row r="12" spans="1:19" s="7" customFormat="1" ht="138.6" x14ac:dyDescent="0.2">
      <c r="A12" s="6"/>
      <c r="B12" s="1" t="s">
        <v>23</v>
      </c>
      <c r="C12" s="1" t="s">
        <v>68</v>
      </c>
      <c r="D12" s="2">
        <v>0.3</v>
      </c>
      <c r="E12" s="3">
        <v>30</v>
      </c>
      <c r="F12" s="4">
        <f t="shared" si="0"/>
        <v>3000</v>
      </c>
      <c r="G12" s="18">
        <f t="shared" si="1"/>
        <v>9</v>
      </c>
      <c r="H12" s="19">
        <f t="shared" si="2"/>
        <v>900</v>
      </c>
      <c r="I12" s="2">
        <v>0.2</v>
      </c>
      <c r="J12" s="3">
        <v>25</v>
      </c>
      <c r="K12" s="4">
        <f t="shared" si="3"/>
        <v>2500</v>
      </c>
      <c r="L12" s="18">
        <f t="shared" si="4"/>
        <v>5</v>
      </c>
      <c r="M12" s="19">
        <f t="shared" si="5"/>
        <v>500</v>
      </c>
      <c r="N12" s="1" t="s">
        <v>33</v>
      </c>
      <c r="O12" s="1" t="s">
        <v>24</v>
      </c>
      <c r="P12" s="1" t="s">
        <v>69</v>
      </c>
      <c r="Q12" s="1" t="s">
        <v>39</v>
      </c>
      <c r="R12" s="1" t="s">
        <v>21</v>
      </c>
      <c r="S12" s="6"/>
    </row>
    <row r="13" spans="1:19" s="7" customFormat="1" ht="138.6" x14ac:dyDescent="0.2">
      <c r="A13" s="6"/>
      <c r="B13" s="1" t="s">
        <v>20</v>
      </c>
      <c r="C13" s="1" t="s">
        <v>58</v>
      </c>
      <c r="D13" s="2">
        <v>0.6</v>
      </c>
      <c r="E13" s="3">
        <v>40</v>
      </c>
      <c r="F13" s="4">
        <f t="shared" si="0"/>
        <v>4000</v>
      </c>
      <c r="G13" s="18">
        <f t="shared" si="1"/>
        <v>24</v>
      </c>
      <c r="H13" s="19">
        <f t="shared" si="2"/>
        <v>2400</v>
      </c>
      <c r="I13" s="2">
        <v>0.2</v>
      </c>
      <c r="J13" s="3">
        <v>20</v>
      </c>
      <c r="K13" s="4">
        <f t="shared" si="3"/>
        <v>2000</v>
      </c>
      <c r="L13" s="18">
        <f t="shared" si="4"/>
        <v>4</v>
      </c>
      <c r="M13" s="19">
        <f t="shared" si="5"/>
        <v>400</v>
      </c>
      <c r="N13" s="1" t="s">
        <v>70</v>
      </c>
      <c r="O13" s="1" t="s">
        <v>71</v>
      </c>
      <c r="P13" s="1" t="s">
        <v>77</v>
      </c>
      <c r="Q13" s="1" t="s">
        <v>59</v>
      </c>
      <c r="R13" s="1" t="s">
        <v>21</v>
      </c>
      <c r="S13" s="6"/>
    </row>
    <row r="14" spans="1:19" s="7" customFormat="1" ht="63" x14ac:dyDescent="0.2">
      <c r="A14" s="6"/>
      <c r="B14" s="1" t="s">
        <v>22</v>
      </c>
      <c r="C14" s="1" t="s">
        <v>72</v>
      </c>
      <c r="D14" s="2">
        <v>0.5</v>
      </c>
      <c r="E14" s="3">
        <v>20</v>
      </c>
      <c r="F14" s="4">
        <f t="shared" si="0"/>
        <v>2000</v>
      </c>
      <c r="G14" s="18">
        <f t="shared" si="1"/>
        <v>10</v>
      </c>
      <c r="H14" s="19">
        <f t="shared" si="2"/>
        <v>1000</v>
      </c>
      <c r="I14" s="2">
        <v>0.2</v>
      </c>
      <c r="J14" s="3">
        <v>20</v>
      </c>
      <c r="K14" s="4">
        <f t="shared" si="3"/>
        <v>2000</v>
      </c>
      <c r="L14" s="18">
        <f t="shared" si="4"/>
        <v>4</v>
      </c>
      <c r="M14" s="19">
        <f t="shared" si="5"/>
        <v>400</v>
      </c>
      <c r="N14" s="1" t="s">
        <v>81</v>
      </c>
      <c r="O14" s="1" t="s">
        <v>47</v>
      </c>
      <c r="P14" s="1" t="s">
        <v>73</v>
      </c>
      <c r="Q14" s="1" t="s">
        <v>38</v>
      </c>
      <c r="R14" s="1" t="s">
        <v>21</v>
      </c>
      <c r="S14" s="6"/>
    </row>
    <row r="15" spans="1:19" s="7" customFormat="1" ht="75.599999999999994" x14ac:dyDescent="0.2">
      <c r="A15" s="6"/>
      <c r="B15" s="1" t="s">
        <v>25</v>
      </c>
      <c r="C15" s="1" t="s">
        <v>51</v>
      </c>
      <c r="D15" s="2">
        <v>0.5</v>
      </c>
      <c r="E15" s="3">
        <v>30</v>
      </c>
      <c r="F15" s="4">
        <f t="shared" si="0"/>
        <v>3000</v>
      </c>
      <c r="G15" s="18">
        <f t="shared" si="1"/>
        <v>15</v>
      </c>
      <c r="H15" s="19">
        <f t="shared" si="2"/>
        <v>1500</v>
      </c>
      <c r="I15" s="2">
        <v>0.2</v>
      </c>
      <c r="J15" s="3">
        <v>20</v>
      </c>
      <c r="K15" s="4">
        <f t="shared" si="3"/>
        <v>2000</v>
      </c>
      <c r="L15" s="18">
        <f t="shared" si="4"/>
        <v>4</v>
      </c>
      <c r="M15" s="19">
        <f t="shared" si="5"/>
        <v>400</v>
      </c>
      <c r="N15" s="1" t="s">
        <v>34</v>
      </c>
      <c r="O15" s="1" t="s">
        <v>26</v>
      </c>
      <c r="P15" s="1" t="s">
        <v>74</v>
      </c>
      <c r="Q15" s="1" t="s">
        <v>40</v>
      </c>
      <c r="R15" s="1" t="s">
        <v>21</v>
      </c>
      <c r="S15" s="6"/>
    </row>
    <row r="16" spans="1:19" s="7" customFormat="1" ht="81.75" customHeight="1" x14ac:dyDescent="0.2">
      <c r="A16" s="6"/>
      <c r="B16" s="1" t="s">
        <v>19</v>
      </c>
      <c r="C16" s="1" t="s">
        <v>75</v>
      </c>
      <c r="D16" s="2">
        <v>0.3</v>
      </c>
      <c r="E16" s="3">
        <v>30</v>
      </c>
      <c r="F16" s="4">
        <f t="shared" si="0"/>
        <v>3000</v>
      </c>
      <c r="G16" s="18">
        <f t="shared" si="1"/>
        <v>9</v>
      </c>
      <c r="H16" s="19">
        <f t="shared" si="2"/>
        <v>900</v>
      </c>
      <c r="I16" s="2">
        <v>0.1</v>
      </c>
      <c r="J16" s="3">
        <v>30</v>
      </c>
      <c r="K16" s="4">
        <f t="shared" si="3"/>
        <v>3000</v>
      </c>
      <c r="L16" s="18">
        <f t="shared" si="4"/>
        <v>3</v>
      </c>
      <c r="M16" s="19">
        <f t="shared" si="5"/>
        <v>300</v>
      </c>
      <c r="N16" s="1" t="s">
        <v>32</v>
      </c>
      <c r="O16" s="1" t="s">
        <v>16</v>
      </c>
      <c r="P16" s="1" t="s">
        <v>76</v>
      </c>
      <c r="Q16" s="1" t="s">
        <v>37</v>
      </c>
      <c r="R16" s="1" t="s">
        <v>21</v>
      </c>
      <c r="S16" s="6"/>
    </row>
    <row r="17" spans="1:19" s="7" customFormat="1" ht="3" customHeight="1" x14ac:dyDescent="0.2">
      <c r="A17" s="6"/>
      <c r="B17" s="9"/>
      <c r="C17" s="10"/>
      <c r="D17" s="11"/>
      <c r="E17" s="12"/>
      <c r="F17" s="13"/>
      <c r="G17" s="18"/>
      <c r="H17" s="19"/>
      <c r="I17" s="11"/>
      <c r="J17" s="12"/>
      <c r="K17" s="13"/>
      <c r="L17" s="18"/>
      <c r="M17" s="19"/>
      <c r="N17" s="9"/>
      <c r="O17" s="10"/>
      <c r="P17" s="10"/>
      <c r="Q17" s="10"/>
      <c r="R17" s="14"/>
      <c r="S17" s="6"/>
    </row>
    <row r="18" spans="1:19" ht="15.9" customHeight="1" x14ac:dyDescent="0.2">
      <c r="A18" s="5"/>
      <c r="B18" s="20" t="s">
        <v>49</v>
      </c>
      <c r="C18" s="21"/>
      <c r="D18" s="22"/>
      <c r="E18" s="23"/>
      <c r="F18" s="24"/>
      <c r="G18" s="25">
        <f>SUM(G8:G16)</f>
        <v>156</v>
      </c>
      <c r="H18" s="26">
        <f>SUM(H8:H16)</f>
        <v>15600</v>
      </c>
      <c r="I18" s="22"/>
      <c r="J18" s="23"/>
      <c r="K18" s="24"/>
      <c r="L18" s="25">
        <f>SUM(L8:L16)</f>
        <v>50.5</v>
      </c>
      <c r="M18" s="26">
        <f>SUM(M8:M16)</f>
        <v>5050</v>
      </c>
      <c r="N18" s="27"/>
      <c r="O18" s="28"/>
      <c r="P18" s="29"/>
      <c r="Q18" s="30"/>
      <c r="R18" s="31"/>
      <c r="S18" s="5"/>
    </row>
    <row r="19" spans="1:19" ht="15.9" customHeight="1" x14ac:dyDescent="0.2">
      <c r="A19" s="5"/>
      <c r="B19" s="5"/>
      <c r="C19" s="5"/>
      <c r="D19" s="5"/>
      <c r="E19" s="5"/>
      <c r="F19" s="5"/>
      <c r="G19" s="5"/>
      <c r="H19" s="5"/>
      <c r="I19" s="5"/>
      <c r="J19" s="5"/>
      <c r="K19" s="5"/>
      <c r="L19" s="5"/>
      <c r="M19" s="5"/>
      <c r="N19" s="5"/>
      <c r="O19" s="5"/>
      <c r="P19" s="5"/>
      <c r="Q19" s="5"/>
      <c r="R19" s="5"/>
      <c r="S19" s="5"/>
    </row>
    <row r="20" spans="1:19" s="7" customFormat="1" ht="15.75" customHeight="1" x14ac:dyDescent="0.2">
      <c r="A20" s="6"/>
      <c r="B20" s="38"/>
      <c r="C20" s="39"/>
      <c r="D20" s="39"/>
      <c r="E20" s="39"/>
      <c r="F20" s="39"/>
      <c r="G20" s="39"/>
      <c r="H20" s="39"/>
      <c r="I20" s="39"/>
      <c r="J20" s="39"/>
      <c r="K20" s="39"/>
      <c r="L20" s="39"/>
      <c r="M20" s="39"/>
      <c r="N20" s="39"/>
      <c r="O20" s="39"/>
      <c r="P20" s="39"/>
      <c r="Q20" s="39"/>
      <c r="R20" s="40"/>
      <c r="S20" s="6"/>
    </row>
    <row r="21" spans="1:19" s="7" customFormat="1" ht="15.75" customHeight="1" x14ac:dyDescent="0.2">
      <c r="A21" s="6"/>
      <c r="B21" s="41" t="s">
        <v>11</v>
      </c>
      <c r="C21" s="42"/>
      <c r="D21" s="42"/>
      <c r="E21" s="42"/>
      <c r="F21" s="42"/>
      <c r="G21" s="42"/>
      <c r="H21" s="42"/>
      <c r="I21" s="42"/>
      <c r="J21" s="42"/>
      <c r="K21" s="42"/>
      <c r="L21" s="42"/>
      <c r="M21" s="42"/>
      <c r="N21" s="42"/>
      <c r="O21" s="42"/>
      <c r="P21" s="42"/>
      <c r="Q21" s="42"/>
      <c r="R21" s="43"/>
      <c r="S21" s="6"/>
    </row>
    <row r="22" spans="1:19" s="7" customFormat="1" ht="15.75" customHeight="1" x14ac:dyDescent="0.2">
      <c r="A22" s="6"/>
      <c r="B22" s="35"/>
      <c r="C22" s="36"/>
      <c r="D22" s="36"/>
      <c r="E22" s="36"/>
      <c r="F22" s="36"/>
      <c r="G22" s="36"/>
      <c r="H22" s="36"/>
      <c r="I22" s="36"/>
      <c r="J22" s="36"/>
      <c r="K22" s="36"/>
      <c r="L22" s="36"/>
      <c r="M22" s="36"/>
      <c r="N22" s="36"/>
      <c r="O22" s="36"/>
      <c r="P22" s="36"/>
      <c r="Q22" s="36"/>
      <c r="R22" s="37"/>
      <c r="S22" s="6"/>
    </row>
    <row r="23" spans="1:19" s="7" customFormat="1" ht="15.75" customHeight="1" x14ac:dyDescent="0.2">
      <c r="A23" s="6"/>
      <c r="B23" s="35" t="s">
        <v>43</v>
      </c>
      <c r="C23" s="36"/>
      <c r="D23" s="36"/>
      <c r="E23" s="36"/>
      <c r="F23" s="36"/>
      <c r="G23" s="36"/>
      <c r="H23" s="36"/>
      <c r="I23" s="36"/>
      <c r="J23" s="36"/>
      <c r="K23" s="36"/>
      <c r="L23" s="36"/>
      <c r="M23" s="36"/>
      <c r="N23" s="36"/>
      <c r="O23" s="36"/>
      <c r="P23" s="36"/>
      <c r="Q23" s="36"/>
      <c r="R23" s="37"/>
      <c r="S23" s="6"/>
    </row>
    <row r="24" spans="1:19" s="7" customFormat="1" ht="15.75" customHeight="1" x14ac:dyDescent="0.2">
      <c r="A24" s="6"/>
      <c r="B24" s="35" t="s">
        <v>12</v>
      </c>
      <c r="C24" s="36"/>
      <c r="D24" s="36"/>
      <c r="E24" s="36"/>
      <c r="F24" s="36"/>
      <c r="G24" s="36"/>
      <c r="H24" s="36"/>
      <c r="I24" s="36"/>
      <c r="J24" s="36"/>
      <c r="K24" s="36"/>
      <c r="L24" s="36"/>
      <c r="M24" s="36"/>
      <c r="N24" s="36"/>
      <c r="O24" s="36"/>
      <c r="P24" s="36"/>
      <c r="Q24" s="36"/>
      <c r="R24" s="37"/>
      <c r="S24" s="6"/>
    </row>
    <row r="25" spans="1:19" s="7" customFormat="1" ht="15.75" customHeight="1" x14ac:dyDescent="0.2">
      <c r="A25" s="6"/>
      <c r="B25" s="35" t="s">
        <v>13</v>
      </c>
      <c r="C25" s="36"/>
      <c r="D25" s="36"/>
      <c r="E25" s="36"/>
      <c r="F25" s="36"/>
      <c r="G25" s="36"/>
      <c r="H25" s="36"/>
      <c r="I25" s="36"/>
      <c r="J25" s="36"/>
      <c r="K25" s="36"/>
      <c r="L25" s="36"/>
      <c r="M25" s="36"/>
      <c r="N25" s="36"/>
      <c r="O25" s="36"/>
      <c r="P25" s="36"/>
      <c r="Q25" s="36"/>
      <c r="R25" s="37"/>
      <c r="S25" s="6"/>
    </row>
    <row r="26" spans="1:19" s="7" customFormat="1" ht="29.25" customHeight="1" x14ac:dyDescent="0.2">
      <c r="A26" s="6"/>
      <c r="B26" s="35" t="s">
        <v>46</v>
      </c>
      <c r="C26" s="36"/>
      <c r="D26" s="36"/>
      <c r="E26" s="36"/>
      <c r="F26" s="36"/>
      <c r="G26" s="36"/>
      <c r="H26" s="36"/>
      <c r="I26" s="36"/>
      <c r="J26" s="36"/>
      <c r="K26" s="36"/>
      <c r="L26" s="36"/>
      <c r="M26" s="36"/>
      <c r="N26" s="36"/>
      <c r="O26" s="36"/>
      <c r="P26" s="36"/>
      <c r="Q26" s="36"/>
      <c r="R26" s="37"/>
      <c r="S26" s="6"/>
    </row>
    <row r="27" spans="1:19" s="7" customFormat="1" ht="15.75" customHeight="1" x14ac:dyDescent="0.2">
      <c r="A27" s="6"/>
      <c r="B27" s="35" t="s">
        <v>30</v>
      </c>
      <c r="C27" s="36"/>
      <c r="D27" s="36"/>
      <c r="E27" s="36"/>
      <c r="F27" s="36"/>
      <c r="G27" s="36"/>
      <c r="H27" s="36"/>
      <c r="I27" s="36"/>
      <c r="J27" s="36"/>
      <c r="K27" s="36"/>
      <c r="L27" s="36"/>
      <c r="M27" s="36"/>
      <c r="N27" s="36"/>
      <c r="O27" s="36"/>
      <c r="P27" s="36"/>
      <c r="Q27" s="36"/>
      <c r="R27" s="37"/>
      <c r="S27" s="6"/>
    </row>
    <row r="28" spans="1:19" s="7" customFormat="1" ht="15.75" customHeight="1" x14ac:dyDescent="0.2">
      <c r="A28" s="6"/>
      <c r="B28" s="35" t="s">
        <v>48</v>
      </c>
      <c r="C28" s="36"/>
      <c r="D28" s="36"/>
      <c r="E28" s="36"/>
      <c r="F28" s="36"/>
      <c r="G28" s="36"/>
      <c r="H28" s="36"/>
      <c r="I28" s="36"/>
      <c r="J28" s="36"/>
      <c r="K28" s="36"/>
      <c r="L28" s="36"/>
      <c r="M28" s="36"/>
      <c r="N28" s="36"/>
      <c r="O28" s="36"/>
      <c r="P28" s="36"/>
      <c r="Q28" s="36"/>
      <c r="R28" s="37"/>
      <c r="S28" s="6"/>
    </row>
    <row r="29" spans="1:19" s="7" customFormat="1" ht="15.75" customHeight="1" x14ac:dyDescent="0.2">
      <c r="A29" s="6"/>
      <c r="B29" s="32"/>
      <c r="C29" s="33"/>
      <c r="D29" s="33"/>
      <c r="E29" s="33"/>
      <c r="F29" s="33"/>
      <c r="G29" s="33"/>
      <c r="H29" s="33"/>
      <c r="I29" s="33"/>
      <c r="J29" s="33"/>
      <c r="K29" s="33"/>
      <c r="L29" s="33"/>
      <c r="M29" s="33"/>
      <c r="N29" s="33"/>
      <c r="O29" s="33"/>
      <c r="P29" s="33"/>
      <c r="Q29" s="33"/>
      <c r="R29" s="34"/>
      <c r="S29" s="6"/>
    </row>
    <row r="30" spans="1:19" x14ac:dyDescent="0.2">
      <c r="A30" s="5"/>
      <c r="B30" s="5"/>
      <c r="C30" s="5"/>
      <c r="D30" s="5"/>
      <c r="E30" s="5"/>
      <c r="F30" s="5"/>
      <c r="G30" s="5"/>
      <c r="H30" s="5"/>
      <c r="I30" s="5"/>
      <c r="J30" s="5"/>
      <c r="K30" s="5"/>
      <c r="L30" s="5"/>
      <c r="M30" s="5"/>
      <c r="N30" s="5"/>
      <c r="O30" s="5"/>
      <c r="P30" s="5"/>
      <c r="Q30" s="5"/>
      <c r="R30" s="5"/>
      <c r="S30" s="5"/>
    </row>
  </sheetData>
  <sortState xmlns:xlrd2="http://schemas.microsoft.com/office/spreadsheetml/2017/richdata2" ref="B8:R16">
    <sortCondition descending="1" ref="M8:M16"/>
  </sortState>
  <mergeCells count="12">
    <mergeCell ref="B29:R29"/>
    <mergeCell ref="B26:R26"/>
    <mergeCell ref="B27:R27"/>
    <mergeCell ref="B20:R20"/>
    <mergeCell ref="B21:R21"/>
    <mergeCell ref="B22:R22"/>
    <mergeCell ref="B28:R28"/>
    <mergeCell ref="D6:H6"/>
    <mergeCell ref="I6:M6"/>
    <mergeCell ref="B23:R23"/>
    <mergeCell ref="B24:R24"/>
    <mergeCell ref="B25:R25"/>
  </mergeCells>
  <pageMargins left="0.55118110236220474" right="0.55118110236220474" top="0.55118110236220474" bottom="0.55118110236220474" header="0.78740157480314965" footer="0.78740157480314965"/>
  <pageSetup scale="74" firstPageNumber="0" fitToWidth="2" fitToHeight="0" orientation="landscape" horizontalDpi="300" verticalDpi="300" r:id="rId1"/>
  <headerFooter>
    <oddHeader>&amp;C&amp;"Arial,Regular"&amp;A</oddHeader>
    <oddFooter>&amp;C&amp;"Arial,Regular"Page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0c38e1-b6e2-4061-96f5-3a83e4f3492a" xsi:nil="true"/>
    <lcf76f155ced4ddcb4097134ff3c332f xmlns="15700c87-5547-428e-a808-210cffccad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1D73479B3B86DF4F88CDECC6BD6FA5DC" ma:contentTypeVersion="18" ma:contentTypeDescription="Opprett et nytt dokument." ma:contentTypeScope="" ma:versionID="3754159ff34ddc46912f79acf55780a3">
  <xsd:schema xmlns:xsd="http://www.w3.org/2001/XMLSchema" xmlns:xs="http://www.w3.org/2001/XMLSchema" xmlns:p="http://schemas.microsoft.com/office/2006/metadata/properties" xmlns:ns2="15700c87-5547-428e-a808-210cffccada0" xmlns:ns3="400c38e1-b6e2-4061-96f5-3a83e4f3492a" targetNamespace="http://schemas.microsoft.com/office/2006/metadata/properties" ma:root="true" ma:fieldsID="ce4b15addf7a06b7b5dc3085e9adc893" ns2:_="" ns3:_="">
    <xsd:import namespace="15700c87-5547-428e-a808-210cffccada0"/>
    <xsd:import namespace="400c38e1-b6e2-4061-96f5-3a83e4f3492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700c87-5547-428e-a808-210cffccad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7b32657b-12f9-4180-b5be-a75843c42e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0c38e1-b6e2-4061-96f5-3a83e4f3492a" elementFormDefault="qualified">
    <xsd:import namespace="http://schemas.microsoft.com/office/2006/documentManagement/types"/>
    <xsd:import namespace="http://schemas.microsoft.com/office/infopath/2007/PartnerControls"/>
    <xsd:element name="SharedWithUsers" ma:index="16"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d6cb161f-45c3-42c7-a6e9-be8c41fa98c8}" ma:internalName="TaxCatchAll" ma:showField="CatchAllData" ma:web="400c38e1-b6e2-4061-96f5-3a83e4f34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4E93D5-8E90-4E72-8010-3D5EA4A74121}">
  <ds:schemaRefs>
    <ds:schemaRef ds:uri="http://schemas.microsoft.com/office/2006/metadata/properties"/>
    <ds:schemaRef ds:uri="http://schemas.microsoft.com/office/infopath/2007/PartnerControls"/>
    <ds:schemaRef ds:uri="400c38e1-b6e2-4061-96f5-3a83e4f3492a"/>
    <ds:schemaRef ds:uri="15700c87-5547-428e-a808-210cffccada0"/>
  </ds:schemaRefs>
</ds:datastoreItem>
</file>

<file path=customXml/itemProps2.xml><?xml version="1.0" encoding="utf-8"?>
<ds:datastoreItem xmlns:ds="http://schemas.openxmlformats.org/officeDocument/2006/customXml" ds:itemID="{5065B952-8C94-461F-892E-8C6E69C0B6FE}">
  <ds:schemaRefs>
    <ds:schemaRef ds:uri="http://schemas.microsoft.com/sharepoint/v3/contenttype/forms"/>
  </ds:schemaRefs>
</ds:datastoreItem>
</file>

<file path=customXml/itemProps3.xml><?xml version="1.0" encoding="utf-8"?>
<ds:datastoreItem xmlns:ds="http://schemas.openxmlformats.org/officeDocument/2006/customXml" ds:itemID="{9742B759-7066-40D5-9643-789F1D5F9C97}"/>
</file>

<file path=docProps/app.xml><?xml version="1.0" encoding="utf-8"?>
<Properties xmlns="http://schemas.openxmlformats.org/officeDocument/2006/extended-properties" xmlns:vt="http://schemas.openxmlformats.org/officeDocument/2006/docPropsVTypes">
  <Template/>
  <TotalTime>2211</TotalTime>
  <Application>Microsoft Excel</Application>
  <DocSecurity>0</DocSecurity>
  <ScaleCrop>false</ScaleCrop>
  <HeadingPairs>
    <vt:vector size="2" baseType="variant">
      <vt:variant>
        <vt:lpstr>Regneark</vt:lpstr>
      </vt:variant>
      <vt:variant>
        <vt:i4>1</vt:i4>
      </vt:variant>
    </vt:vector>
  </HeadingPairs>
  <TitlesOfParts>
    <vt:vector size="1" baseType="lpstr">
      <vt:lpstr>Risk Register</vt:lpstr>
    </vt:vector>
  </TitlesOfParts>
  <Company>DeeplyPracticalPM.com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Magical Devices Version 3</dc:title>
  <dc:subject/>
  <dc:creator>William Stewart</dc:creator>
  <dc:description/>
  <cp:lastModifiedBy>Bård Inge Austigard Pettersen</cp:lastModifiedBy>
  <cp:revision>102</cp:revision>
  <cp:lastPrinted>2020-02-23T17:51:53Z</cp:lastPrinted>
  <dcterms:modified xsi:type="dcterms:W3CDTF">2025-03-04T02:47:53Z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0x0101001D73479B3B86DF4F88CDECC6BD6FA5DC</vt:lpwstr>
  </property>
  <property fmtid="{D5CDD505-2E9C-101B-9397-08002B2CF9AE}" pid="3" name="MediaServiceImageTags">
    <vt:lpwstr/>
  </property>
</Properties>
</file>