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himolde.sharepoint.com/sites/PKogBIP/Delte dokumenter/001 Subjects/LOG565 Prosjekledelse 2/2025/Magical Devices/"/>
    </mc:Choice>
  </mc:AlternateContent>
  <xr:revisionPtr revIDLastSave="0" documentId="8_{1D743F52-9D33-44D7-A484-FC4DDD115BB7}" xr6:coauthVersionLast="47" xr6:coauthVersionMax="47" xr10:uidLastSave="{00000000-0000-0000-0000-000000000000}"/>
  <bookViews>
    <workbookView xWindow="-108" yWindow="-108" windowWidth="46296" windowHeight="25536" tabRatio="500" xr2:uid="{00000000-000D-0000-FFFF-FFFF00000000}"/>
  </bookViews>
  <sheets>
    <sheet name="Initiation" sheetId="2" r:id="rId1"/>
    <sheet name="Plann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2" l="1"/>
  <c r="C53" i="2"/>
  <c r="C50" i="2"/>
  <c r="C49" i="2"/>
  <c r="C46" i="2"/>
  <c r="C45" i="2"/>
  <c r="C44" i="2"/>
  <c r="C40" i="2"/>
  <c r="C39" i="2"/>
  <c r="C38" i="2"/>
  <c r="C37" i="2"/>
  <c r="C33" i="2"/>
  <c r="C30" i="2" l="1"/>
  <c r="C52" i="1"/>
  <c r="C56" i="1"/>
  <c r="C47" i="1"/>
  <c r="C41" i="1"/>
  <c r="C34" i="1"/>
  <c r="C31" i="1"/>
  <c r="C57" i="1" l="1"/>
  <c r="C34" i="2"/>
  <c r="C41" i="2" l="1"/>
  <c r="C31" i="2" l="1"/>
  <c r="C47" i="2"/>
  <c r="C20" i="2"/>
  <c r="C17" i="2"/>
  <c r="C16" i="2"/>
  <c r="C15" i="2"/>
  <c r="D14" i="2"/>
  <c r="D15" i="2" s="1"/>
  <c r="C11" i="2"/>
  <c r="C10" i="2"/>
  <c r="C9" i="2"/>
  <c r="D8" i="2"/>
  <c r="E8" i="2" s="1"/>
  <c r="C15" i="1"/>
  <c r="D8" i="1"/>
  <c r="E8" i="1" s="1"/>
  <c r="D14" i="1"/>
  <c r="E14" i="1" s="1"/>
  <c r="F8" i="1" l="1"/>
  <c r="G8" i="1"/>
  <c r="G8" i="2"/>
  <c r="F8" i="2"/>
  <c r="C23" i="2"/>
  <c r="D15" i="1"/>
  <c r="C21" i="2"/>
  <c r="C18" i="2"/>
  <c r="D9" i="2"/>
  <c r="D11" i="2"/>
  <c r="C55" i="2"/>
  <c r="C51" i="2"/>
  <c r="E9" i="2"/>
  <c r="E10" i="2"/>
  <c r="E11" i="2"/>
  <c r="D21" i="2"/>
  <c r="E14" i="2"/>
  <c r="C22" i="2"/>
  <c r="C12" i="2"/>
  <c r="D17" i="2"/>
  <c r="D20" i="2"/>
  <c r="D16" i="2"/>
  <c r="D10" i="2"/>
  <c r="F14" i="1"/>
  <c r="E15" i="1"/>
  <c r="C20" i="1"/>
  <c r="C17" i="1"/>
  <c r="C16" i="1"/>
  <c r="D17" i="1"/>
  <c r="D11" i="1"/>
  <c r="C11" i="1"/>
  <c r="C10" i="1"/>
  <c r="D9" i="1"/>
  <c r="C9" i="1"/>
  <c r="C21" i="1" s="1"/>
  <c r="C24" i="2" l="1"/>
  <c r="C56" i="2"/>
  <c r="D12" i="2"/>
  <c r="C12" i="1"/>
  <c r="C18" i="1"/>
  <c r="E20" i="2"/>
  <c r="E17" i="2"/>
  <c r="E15" i="2"/>
  <c r="F14" i="2"/>
  <c r="E16" i="2"/>
  <c r="F10" i="2"/>
  <c r="F9" i="2"/>
  <c r="F11" i="2"/>
  <c r="D22" i="2"/>
  <c r="D18" i="2"/>
  <c r="D23" i="2"/>
  <c r="E12" i="2"/>
  <c r="G14" i="1"/>
  <c r="G15" i="1" s="1"/>
  <c r="F15" i="1"/>
  <c r="E10" i="1"/>
  <c r="E9" i="1"/>
  <c r="E11" i="1"/>
  <c r="D23" i="1"/>
  <c r="C23" i="1"/>
  <c r="C22" i="1"/>
  <c r="D16" i="1"/>
  <c r="D10" i="1"/>
  <c r="D12" i="1" s="1"/>
  <c r="D20" i="1"/>
  <c r="C24" i="1" l="1"/>
  <c r="E18" i="2"/>
  <c r="E24" i="2" s="1"/>
  <c r="E23" i="2"/>
  <c r="G11" i="2"/>
  <c r="H11" i="2" s="1"/>
  <c r="G9" i="2"/>
  <c r="H9" i="2" s="1"/>
  <c r="G10" i="2"/>
  <c r="H10" i="2" s="1"/>
  <c r="D24" i="2"/>
  <c r="F12" i="2"/>
  <c r="H8" i="2"/>
  <c r="E22" i="2"/>
  <c r="G14" i="2"/>
  <c r="F20" i="2"/>
  <c r="F17" i="2"/>
  <c r="F15" i="2"/>
  <c r="F21" i="2" s="1"/>
  <c r="F16" i="2"/>
  <c r="F22" i="2" s="1"/>
  <c r="E21" i="2"/>
  <c r="D21" i="1"/>
  <c r="D18" i="1"/>
  <c r="E16" i="1"/>
  <c r="E20" i="1"/>
  <c r="E17" i="1"/>
  <c r="E21" i="1"/>
  <c r="D22" i="1"/>
  <c r="F10" i="1"/>
  <c r="F9" i="1"/>
  <c r="F11" i="1"/>
  <c r="E12" i="1"/>
  <c r="G20" i="2" l="1"/>
  <c r="G17" i="2"/>
  <c r="G15" i="2"/>
  <c r="G21" i="2" s="1"/>
  <c r="G16" i="2"/>
  <c r="H14" i="2"/>
  <c r="H20" i="2" s="1"/>
  <c r="G12" i="2"/>
  <c r="H12" i="2" s="1"/>
  <c r="F18" i="2"/>
  <c r="F24" i="2" s="1"/>
  <c r="F23" i="2"/>
  <c r="F12" i="1"/>
  <c r="G9" i="1"/>
  <c r="H9" i="1" s="1"/>
  <c r="G11" i="1"/>
  <c r="H11" i="1" s="1"/>
  <c r="G10" i="1"/>
  <c r="H10" i="1" s="1"/>
  <c r="E22" i="1"/>
  <c r="E23" i="1"/>
  <c r="E18" i="1"/>
  <c r="E24" i="1" s="1"/>
  <c r="H8" i="1"/>
  <c r="F20" i="1"/>
  <c r="F17" i="1"/>
  <c r="F16" i="1"/>
  <c r="F22" i="1" s="1"/>
  <c r="H14" i="1"/>
  <c r="D24" i="1"/>
  <c r="D62" i="1" s="1"/>
  <c r="C62" i="1"/>
  <c r="H15" i="2" l="1"/>
  <c r="H21" i="2" s="1"/>
  <c r="G23" i="2"/>
  <c r="G18" i="2"/>
  <c r="G24" i="2" s="1"/>
  <c r="H17" i="2"/>
  <c r="H23" i="2" s="1"/>
  <c r="G22" i="2"/>
  <c r="H16" i="2"/>
  <c r="H22" i="2" s="1"/>
  <c r="G20" i="1"/>
  <c r="G17" i="1"/>
  <c r="G21" i="1"/>
  <c r="G16" i="1"/>
  <c r="H20" i="1"/>
  <c r="G12" i="1"/>
  <c r="H12" i="1" s="1"/>
  <c r="F21" i="1"/>
  <c r="F18" i="1"/>
  <c r="F24" i="1" s="1"/>
  <c r="F23" i="1"/>
  <c r="D63" i="1"/>
  <c r="D64" i="1"/>
  <c r="C64" i="1"/>
  <c r="C63" i="1"/>
  <c r="H18" i="2" l="1"/>
  <c r="H24" i="2" s="1"/>
  <c r="G22" i="1"/>
  <c r="H16" i="1"/>
  <c r="H22" i="1" s="1"/>
  <c r="G18" i="1"/>
  <c r="G23" i="1"/>
  <c r="H17" i="1"/>
  <c r="H23" i="1" s="1"/>
  <c r="H15" i="1"/>
  <c r="H21" i="1" s="1"/>
  <c r="E62" i="1"/>
  <c r="F62" i="1"/>
  <c r="G24" i="1" l="1"/>
  <c r="G62" i="1" s="1"/>
  <c r="G63" i="1" s="1"/>
  <c r="H18" i="1"/>
  <c r="H24" i="1" s="1"/>
  <c r="F64" i="1"/>
  <c r="F63" i="1"/>
  <c r="E63" i="1"/>
  <c r="E64" i="1"/>
  <c r="G64" i="1" l="1"/>
  <c r="D61" i="2" l="1"/>
  <c r="C61" i="2"/>
  <c r="C63" i="2" s="1"/>
  <c r="C62" i="2" l="1"/>
  <c r="D63" i="2"/>
  <c r="D62" i="2"/>
  <c r="E61" i="2"/>
  <c r="E63" i="2" l="1"/>
  <c r="E62" i="2"/>
  <c r="F61" i="2"/>
  <c r="G61" i="2"/>
  <c r="G63" i="2" l="1"/>
  <c r="G62" i="2"/>
  <c r="F63" i="2"/>
  <c r="F62" i="2"/>
</calcChain>
</file>

<file path=xl/sharedStrings.xml><?xml version="1.0" encoding="utf-8"?>
<sst xmlns="http://schemas.openxmlformats.org/spreadsheetml/2006/main" count="118" uniqueCount="47">
  <si>
    <t>Year</t>
  </si>
  <si>
    <t>Total</t>
  </si>
  <si>
    <t>Production (M)</t>
  </si>
  <si>
    <t>Cost (M) @ $60 / unit</t>
  </si>
  <si>
    <t>Revenue @ $100 / unit</t>
  </si>
  <si>
    <t>Profit (M)</t>
  </si>
  <si>
    <t>Cost (M)</t>
  </si>
  <si>
    <t>Revenue</t>
  </si>
  <si>
    <t>Cumulative additional profit (M)</t>
  </si>
  <si>
    <t>Return on investment (ROI)</t>
  </si>
  <si>
    <t>Cost per square meter of factory space</t>
  </si>
  <si>
    <t>Number of square meters of factory space</t>
  </si>
  <si>
    <t>Number of production lines</t>
  </si>
  <si>
    <t>Cost per production line</t>
  </si>
  <si>
    <t>Benefit / Cost Ratio (BCR)</t>
  </si>
  <si>
    <t>Hardware cost per production line</t>
  </si>
  <si>
    <t>Total Project Costs</t>
  </si>
  <si>
    <t>Production (M) @ growth of 20%</t>
  </si>
  <si>
    <t>Production (M) @ growth of 40%</t>
  </si>
  <si>
    <t>Cost (M) @ $42 / unit</t>
  </si>
  <si>
    <t>Marketing costs (M) @ $20 / unit</t>
  </si>
  <si>
    <t>Marketing costs (M)</t>
  </si>
  <si>
    <t>All facility internal materials</t>
  </si>
  <si>
    <t>1.  Facility Procurement</t>
  </si>
  <si>
    <t>2.  Building Material</t>
  </si>
  <si>
    <t>4.  Software Procurement</t>
  </si>
  <si>
    <t>5.  Project Personnel</t>
  </si>
  <si>
    <t>6.  Project Management</t>
  </si>
  <si>
    <t>1.  Current Manufacturing Facility</t>
  </si>
  <si>
    <t>2.  New manufacturing facility</t>
  </si>
  <si>
    <t>3.  Difference</t>
  </si>
  <si>
    <t>Benefits</t>
  </si>
  <si>
    <t>Costs</t>
  </si>
  <si>
    <t>Benefit / Cost Ratio and Return On Investment</t>
  </si>
  <si>
    <t>Management station</t>
  </si>
  <si>
    <t>Control station</t>
  </si>
  <si>
    <t>Magic dust</t>
  </si>
  <si>
    <t>Security consultant</t>
  </si>
  <si>
    <t>Project leads</t>
  </si>
  <si>
    <t>Project team</t>
  </si>
  <si>
    <t>Project management team</t>
  </si>
  <si>
    <t>Risk budget</t>
  </si>
  <si>
    <t>Initiation Stage Business Case Calculations (see Planning Stage on next tab)</t>
  </si>
  <si>
    <t>Planning Stage Business Case Calculations (see Initiation Stage on previous tab)</t>
  </si>
  <si>
    <t>&lt;-- New from Initiation stage.</t>
  </si>
  <si>
    <t>3.  Hardware Procurement</t>
  </si>
  <si>
    <t>&lt;- At capacity after 36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</si>
</sst>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;[Red]\-&quot;$&quot;#,##0.00"/>
    <numFmt numFmtId="166" formatCode="[$$-1009]#,##0;[Red]\-[$$-1009]#,##0"/>
    <numFmt numFmtId="167" formatCode="0.##"/>
  </numFmts>
  <fonts count="16" x14ac:knownFonts="1">
    <font>
      <sz val="10"/>
      <name val="Arial"/>
      <family val="2"/>
    </font>
    <font>
      <sz val="1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/>
      <sz val="10"/>
      <color rgb="FF808080"/>
      <name val="Arial"/>
      <family val="2"/>
    </font>
    <font>
      <u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0" borderId="0" applyBorder="0" applyAlignment="0" applyProtection="0"/>
    <xf numFmtId="0" fontId="3" fillId="0" borderId="0" applyBorder="0" applyAlignment="0" applyProtection="0"/>
    <xf numFmtId="0" fontId="4" fillId="0" borderId="0" applyBorder="0" applyAlignment="0" applyProtection="0"/>
    <xf numFmtId="0" fontId="1" fillId="0" borderId="0" applyFont="0" applyBorder="0" applyAlignment="0" applyProtection="0"/>
    <xf numFmtId="0" fontId="5" fillId="2" borderId="1" applyAlignment="0" applyProtection="0"/>
    <xf numFmtId="0" fontId="6" fillId="0" borderId="0" applyBorder="0" applyAlignment="0" applyProtection="0"/>
    <xf numFmtId="0" fontId="7" fillId="0" borderId="0" applyBorder="0" applyAlignment="0" applyProtection="0"/>
    <xf numFmtId="0" fontId="1" fillId="0" borderId="0" applyFont="0" applyBorder="0" applyAlignment="0" applyProtection="0"/>
    <xf numFmtId="0" fontId="8" fillId="3" borderId="0" applyBorder="0" applyAlignment="0" applyProtection="0"/>
    <xf numFmtId="0" fontId="9" fillId="2" borderId="0" applyBorder="0" applyAlignment="0" applyProtection="0"/>
    <xf numFmtId="0" fontId="10" fillId="4" borderId="0" applyBorder="0" applyAlignment="0" applyProtection="0"/>
    <xf numFmtId="0" fontId="10" fillId="0" borderId="0" applyBorder="0" applyAlignment="0" applyProtection="0"/>
    <xf numFmtId="0" fontId="11" fillId="5" borderId="0" applyBorder="0" applyAlignment="0" applyProtection="0"/>
    <xf numFmtId="0" fontId="12" fillId="0" borderId="0" applyBorder="0" applyAlignment="0" applyProtection="0"/>
    <xf numFmtId="0" fontId="13" fillId="6" borderId="0" applyBorder="0" applyAlignment="0" applyProtection="0"/>
    <xf numFmtId="0" fontId="13" fillId="7" borderId="0" applyBorder="0" applyAlignment="0" applyProtection="0"/>
    <xf numFmtId="0" fontId="12" fillId="8" borderId="0" applyBorder="0" applyAlignment="0" applyProtection="0"/>
  </cellStyleXfs>
  <cellXfs count="92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14" fillId="9" borderId="2" xfId="0" applyFont="1" applyFill="1" applyBorder="1"/>
    <xf numFmtId="167" fontId="0" fillId="0" borderId="7" xfId="0" applyNumberFormat="1" applyBorder="1"/>
    <xf numFmtId="166" fontId="0" fillId="0" borderId="7" xfId="0" applyNumberFormat="1" applyBorder="1"/>
    <xf numFmtId="166" fontId="0" fillId="10" borderId="9" xfId="0" applyNumberFormat="1" applyFill="1" applyBorder="1"/>
    <xf numFmtId="166" fontId="0" fillId="10" borderId="10" xfId="0" applyNumberFormat="1" applyFill="1" applyBorder="1"/>
    <xf numFmtId="0" fontId="15" fillId="10" borderId="12" xfId="0" applyFont="1" applyFill="1" applyBorder="1" applyAlignment="1">
      <alignment horizontal="center"/>
    </xf>
    <xf numFmtId="0" fontId="15" fillId="10" borderId="13" xfId="0" applyFont="1" applyFill="1" applyBorder="1" applyAlignment="1">
      <alignment horizontal="center"/>
    </xf>
    <xf numFmtId="0" fontId="15" fillId="10" borderId="2" xfId="0" applyFont="1" applyFill="1" applyBorder="1"/>
    <xf numFmtId="0" fontId="15" fillId="10" borderId="14" xfId="0" applyFont="1" applyFill="1" applyBorder="1"/>
    <xf numFmtId="0" fontId="0" fillId="0" borderId="15" xfId="0" applyBorder="1"/>
    <xf numFmtId="0" fontId="0" fillId="10" borderId="16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167" fontId="0" fillId="0" borderId="6" xfId="0" applyNumberFormat="1" applyBorder="1"/>
    <xf numFmtId="166" fontId="0" fillId="0" borderId="6" xfId="0" applyNumberFormat="1" applyBorder="1"/>
    <xf numFmtId="166" fontId="0" fillId="10" borderId="8" xfId="0" applyNumberFormat="1" applyFill="1" applyBorder="1"/>
    <xf numFmtId="0" fontId="15" fillId="10" borderId="2" xfId="0" applyFont="1" applyFill="1" applyBorder="1" applyAlignment="1">
      <alignment horizontal="center"/>
    </xf>
    <xf numFmtId="0" fontId="0" fillId="10" borderId="14" xfId="0" applyFill="1" applyBorder="1"/>
    <xf numFmtId="167" fontId="0" fillId="0" borderId="15" xfId="0" applyNumberFormat="1" applyBorder="1"/>
    <xf numFmtId="166" fontId="0" fillId="0" borderId="15" xfId="0" applyNumberFormat="1" applyBorder="1"/>
    <xf numFmtId="166" fontId="0" fillId="10" borderId="16" xfId="0" applyNumberFormat="1" applyFill="1" applyBorder="1"/>
    <xf numFmtId="0" fontId="14" fillId="10" borderId="2" xfId="0" applyFont="1" applyFill="1" applyBorder="1"/>
    <xf numFmtId="0" fontId="15" fillId="11" borderId="14" xfId="0" applyFont="1" applyFill="1" applyBorder="1"/>
    <xf numFmtId="0" fontId="0" fillId="11" borderId="14" xfId="0" applyFill="1" applyBorder="1"/>
    <xf numFmtId="164" fontId="0" fillId="0" borderId="15" xfId="0" applyNumberFormat="1" applyBorder="1"/>
    <xf numFmtId="0" fontId="15" fillId="11" borderId="2" xfId="0" applyFont="1" applyFill="1" applyBorder="1"/>
    <xf numFmtId="164" fontId="15" fillId="11" borderId="2" xfId="0" applyNumberFormat="1" applyFont="1" applyFill="1" applyBorder="1"/>
    <xf numFmtId="0" fontId="14" fillId="10" borderId="17" xfId="0" applyFont="1" applyFill="1" applyBorder="1"/>
    <xf numFmtId="0" fontId="0" fillId="11" borderId="13" xfId="0" applyFill="1" applyBorder="1"/>
    <xf numFmtId="0" fontId="0" fillId="0" borderId="14" xfId="0" applyBorder="1"/>
    <xf numFmtId="0" fontId="0" fillId="0" borderId="16" xfId="0" applyBorder="1"/>
    <xf numFmtId="0" fontId="15" fillId="10" borderId="11" xfId="0" applyFont="1" applyFill="1" applyBorder="1" applyAlignment="1">
      <alignment horizontal="center"/>
    </xf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9" fontId="0" fillId="0" borderId="8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0" fontId="0" fillId="11" borderId="16" xfId="0" applyFill="1" applyBorder="1"/>
    <xf numFmtId="164" fontId="0" fillId="11" borderId="16" xfId="0" applyNumberFormat="1" applyFill="1" applyBorder="1"/>
    <xf numFmtId="164" fontId="0" fillId="11" borderId="15" xfId="0" applyNumberFormat="1" applyFill="1" applyBorder="1"/>
    <xf numFmtId="0" fontId="0" fillId="0" borderId="0" xfId="0" applyAlignment="1">
      <alignment vertical="top"/>
    </xf>
    <xf numFmtId="0" fontId="14" fillId="9" borderId="2" xfId="0" applyFont="1" applyFill="1" applyBorder="1" applyAlignment="1">
      <alignment vertical="top"/>
    </xf>
    <xf numFmtId="0" fontId="15" fillId="10" borderId="2" xfId="0" applyFont="1" applyFill="1" applyBorder="1" applyAlignment="1">
      <alignment vertical="top"/>
    </xf>
    <xf numFmtId="0" fontId="15" fillId="10" borderId="12" xfId="0" applyFont="1" applyFill="1" applyBorder="1" applyAlignment="1">
      <alignment horizontal="center" vertical="top"/>
    </xf>
    <xf numFmtId="0" fontId="15" fillId="10" borderId="2" xfId="0" applyFont="1" applyFill="1" applyBorder="1" applyAlignment="1">
      <alignment horizontal="center" vertical="top"/>
    </xf>
    <xf numFmtId="0" fontId="15" fillId="10" borderId="14" xfId="0" applyFont="1" applyFill="1" applyBorder="1" applyAlignment="1">
      <alignment vertical="top"/>
    </xf>
    <xf numFmtId="0" fontId="0" fillId="10" borderId="3" xfId="0" applyFill="1" applyBorder="1" applyAlignment="1">
      <alignment vertical="top"/>
    </xf>
    <xf numFmtId="0" fontId="0" fillId="10" borderId="4" xfId="0" applyFill="1" applyBorder="1" applyAlignment="1">
      <alignment vertical="top"/>
    </xf>
    <xf numFmtId="0" fontId="0" fillId="10" borderId="5" xfId="0" applyFill="1" applyBorder="1" applyAlignment="1">
      <alignment vertical="top"/>
    </xf>
    <xf numFmtId="0" fontId="0" fillId="10" borderId="14" xfId="0" applyFill="1" applyBorder="1" applyAlignment="1">
      <alignment vertical="top"/>
    </xf>
    <xf numFmtId="0" fontId="0" fillId="0" borderId="15" xfId="0" applyBorder="1" applyAlignment="1">
      <alignment vertical="top"/>
    </xf>
    <xf numFmtId="167" fontId="0" fillId="0" borderId="6" xfId="0" applyNumberFormat="1" applyBorder="1" applyAlignment="1">
      <alignment vertical="top"/>
    </xf>
    <xf numFmtId="167" fontId="0" fillId="0" borderId="0" xfId="0" applyNumberFormat="1" applyAlignment="1">
      <alignment vertical="top"/>
    </xf>
    <xf numFmtId="167" fontId="0" fillId="0" borderId="15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  <xf numFmtId="166" fontId="0" fillId="0" borderId="15" xfId="0" applyNumberFormat="1" applyBorder="1" applyAlignment="1">
      <alignment vertical="top"/>
    </xf>
    <xf numFmtId="0" fontId="0" fillId="10" borderId="16" xfId="0" applyFill="1" applyBorder="1" applyAlignment="1">
      <alignment vertical="top"/>
    </xf>
    <xf numFmtId="166" fontId="0" fillId="10" borderId="8" xfId="0" applyNumberFormat="1" applyFill="1" applyBorder="1" applyAlignment="1">
      <alignment vertical="top"/>
    </xf>
    <xf numFmtId="166" fontId="0" fillId="10" borderId="9" xfId="0" applyNumberFormat="1" applyFill="1" applyBorder="1" applyAlignment="1">
      <alignment vertical="top"/>
    </xf>
    <xf numFmtId="166" fontId="0" fillId="10" borderId="10" xfId="0" applyNumberFormat="1" applyFill="1" applyBorder="1" applyAlignment="1">
      <alignment vertical="top"/>
    </xf>
    <xf numFmtId="166" fontId="0" fillId="10" borderId="16" xfId="0" applyNumberFormat="1" applyFill="1" applyBorder="1" applyAlignment="1">
      <alignment vertical="top"/>
    </xf>
    <xf numFmtId="167" fontId="0" fillId="0" borderId="7" xfId="0" applyNumberFormat="1" applyBorder="1" applyAlignment="1">
      <alignment vertical="top"/>
    </xf>
    <xf numFmtId="0" fontId="14" fillId="10" borderId="2" xfId="0" applyFont="1" applyFill="1" applyBorder="1" applyAlignment="1">
      <alignment vertical="top"/>
    </xf>
    <xf numFmtId="0" fontId="15" fillId="11" borderId="14" xfId="0" applyFont="1" applyFill="1" applyBorder="1" applyAlignment="1">
      <alignment vertical="top"/>
    </xf>
    <xf numFmtId="0" fontId="0" fillId="11" borderId="14" xfId="0" applyFill="1" applyBorder="1" applyAlignment="1">
      <alignment vertical="top"/>
    </xf>
    <xf numFmtId="164" fontId="0" fillId="0" borderId="15" xfId="0" applyNumberFormat="1" applyBorder="1" applyAlignment="1">
      <alignment vertical="top"/>
    </xf>
    <xf numFmtId="0" fontId="0" fillId="11" borderId="16" xfId="0" applyFill="1" applyBorder="1" applyAlignment="1">
      <alignment vertical="top"/>
    </xf>
    <xf numFmtId="164" fontId="0" fillId="11" borderId="16" xfId="0" applyNumberFormat="1" applyFill="1" applyBorder="1" applyAlignment="1">
      <alignment vertical="top"/>
    </xf>
    <xf numFmtId="164" fontId="0" fillId="11" borderId="15" xfId="0" applyNumberFormat="1" applyFill="1" applyBorder="1" applyAlignment="1">
      <alignment vertical="top"/>
    </xf>
    <xf numFmtId="165" fontId="0" fillId="0" borderId="0" xfId="0" applyNumberFormat="1" applyAlignment="1">
      <alignment vertical="top"/>
    </xf>
    <xf numFmtId="0" fontId="15" fillId="11" borderId="2" xfId="0" applyFont="1" applyFill="1" applyBorder="1" applyAlignment="1">
      <alignment vertical="top"/>
    </xf>
    <xf numFmtId="164" fontId="15" fillId="11" borderId="2" xfId="0" applyNumberFormat="1" applyFont="1" applyFill="1" applyBorder="1" applyAlignment="1">
      <alignment vertical="top"/>
    </xf>
    <xf numFmtId="164" fontId="0" fillId="0" borderId="0" xfId="0" applyNumberFormat="1" applyAlignment="1">
      <alignment vertical="top"/>
    </xf>
    <xf numFmtId="0" fontId="14" fillId="10" borderId="17" xfId="0" applyFont="1" applyFill="1" applyBorder="1" applyAlignment="1">
      <alignment vertical="top"/>
    </xf>
    <xf numFmtId="0" fontId="0" fillId="11" borderId="13" xfId="0" applyFill="1" applyBorder="1" applyAlignment="1">
      <alignment vertical="top"/>
    </xf>
    <xf numFmtId="0" fontId="15" fillId="10" borderId="11" xfId="0" applyFont="1" applyFill="1" applyBorder="1" applyAlignment="1">
      <alignment horizontal="center" vertical="top"/>
    </xf>
    <xf numFmtId="0" fontId="15" fillId="10" borderId="13" xfId="0" applyFont="1" applyFill="1" applyBorder="1" applyAlignment="1">
      <alignment horizontal="center" vertical="top"/>
    </xf>
    <xf numFmtId="0" fontId="0" fillId="0" borderId="14" xfId="0" applyBorder="1" applyAlignment="1">
      <alignment vertical="top"/>
    </xf>
    <xf numFmtId="166" fontId="0" fillId="0" borderId="3" xfId="0" applyNumberFormat="1" applyBorder="1" applyAlignment="1">
      <alignment vertical="top"/>
    </xf>
    <xf numFmtId="166" fontId="0" fillId="0" borderId="4" xfId="0" applyNumberFormat="1" applyBorder="1" applyAlignment="1">
      <alignment vertical="top"/>
    </xf>
    <xf numFmtId="166" fontId="0" fillId="0" borderId="5" xfId="0" applyNumberFormat="1" applyBorder="1" applyAlignment="1">
      <alignment vertical="top"/>
    </xf>
    <xf numFmtId="0" fontId="0" fillId="0" borderId="16" xfId="0" applyBorder="1" applyAlignment="1">
      <alignment vertical="top"/>
    </xf>
    <xf numFmtId="9" fontId="0" fillId="0" borderId="8" xfId="0" applyNumberFormat="1" applyBorder="1" applyAlignment="1">
      <alignment vertical="top"/>
    </xf>
    <xf numFmtId="9" fontId="0" fillId="0" borderId="9" xfId="0" applyNumberFormat="1" applyBorder="1" applyAlignment="1">
      <alignment vertical="top"/>
    </xf>
    <xf numFmtId="9" fontId="0" fillId="0" borderId="10" xfId="0" applyNumberFormat="1" applyBorder="1" applyAlignment="1">
      <alignment vertical="top"/>
    </xf>
  </cellXfs>
  <cellStyles count="18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63"/>
  <sheetViews>
    <sheetView tabSelected="1" zoomScaleNormal="100" workbookViewId="0">
      <selection activeCell="F32" sqref="F32"/>
    </sheetView>
  </sheetViews>
  <sheetFormatPr baseColWidth="10" defaultColWidth="9.109375" defaultRowHeight="13.2" x14ac:dyDescent="0.25"/>
  <cols>
    <col min="1" max="1" width="3.6640625" style="45" customWidth="1"/>
    <col min="2" max="2" width="37.88671875" style="45" customWidth="1"/>
    <col min="3" max="8" width="11.6640625" style="45" customWidth="1"/>
    <col min="9" max="16384" width="9.109375" style="45"/>
  </cols>
  <sheetData>
    <row r="2" spans="2:9" ht="14.25" customHeight="1" x14ac:dyDescent="0.25">
      <c r="B2" s="46" t="s">
        <v>42</v>
      </c>
      <c r="C2" s="46"/>
      <c r="D2" s="46"/>
      <c r="E2" s="46"/>
      <c r="F2" s="46"/>
    </row>
    <row r="4" spans="2:9" x14ac:dyDescent="0.25">
      <c r="B4" s="46" t="s">
        <v>31</v>
      </c>
    </row>
    <row r="6" spans="2:9" x14ac:dyDescent="0.25">
      <c r="B6" s="47" t="s">
        <v>0</v>
      </c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9" t="s">
        <v>1</v>
      </c>
    </row>
    <row r="7" spans="2:9" x14ac:dyDescent="0.25">
      <c r="B7" s="50" t="s">
        <v>28</v>
      </c>
      <c r="C7" s="51"/>
      <c r="D7" s="52"/>
      <c r="E7" s="52"/>
      <c r="F7" s="52"/>
      <c r="G7" s="53"/>
      <c r="H7" s="54"/>
    </row>
    <row r="8" spans="2:9" x14ac:dyDescent="0.25">
      <c r="B8" s="55" t="s">
        <v>17</v>
      </c>
      <c r="C8" s="56">
        <v>0.7</v>
      </c>
      <c r="D8" s="57">
        <f>C8*1.2</f>
        <v>0.84</v>
      </c>
      <c r="E8" s="57">
        <f>D8*1.2</f>
        <v>1.008</v>
      </c>
      <c r="F8" s="57">
        <f>E8</f>
        <v>1.008</v>
      </c>
      <c r="G8" s="57">
        <f>E8</f>
        <v>1.008</v>
      </c>
      <c r="H8" s="58">
        <f>SUM(C8:G8)</f>
        <v>4.5640000000000001</v>
      </c>
      <c r="I8" s="45" t="s">
        <v>46</v>
      </c>
    </row>
    <row r="9" spans="2:9" x14ac:dyDescent="0.25">
      <c r="B9" s="55" t="s">
        <v>3</v>
      </c>
      <c r="C9" s="59">
        <f>C8*60</f>
        <v>42</v>
      </c>
      <c r="D9" s="60">
        <f>D8*60</f>
        <v>50.4</v>
      </c>
      <c r="E9" s="60">
        <f>E8*60</f>
        <v>60.480000000000004</v>
      </c>
      <c r="F9" s="60">
        <f>F8*60</f>
        <v>60.480000000000004</v>
      </c>
      <c r="G9" s="61">
        <f>G8*60</f>
        <v>60.480000000000004</v>
      </c>
      <c r="H9" s="62">
        <f>SUM(C9:G9)</f>
        <v>273.84000000000003</v>
      </c>
    </row>
    <row r="10" spans="2:9" x14ac:dyDescent="0.25">
      <c r="B10" s="55" t="s">
        <v>20</v>
      </c>
      <c r="C10" s="59">
        <f>20*C8</f>
        <v>14</v>
      </c>
      <c r="D10" s="60">
        <f>20*D8</f>
        <v>16.8</v>
      </c>
      <c r="E10" s="60">
        <f>20*E8</f>
        <v>20.16</v>
      </c>
      <c r="F10" s="60">
        <f>20*F8</f>
        <v>20.16</v>
      </c>
      <c r="G10" s="61">
        <f>20*G8</f>
        <v>20.16</v>
      </c>
      <c r="H10" s="62">
        <f>SUM(C10:G10)</f>
        <v>91.28</v>
      </c>
    </row>
    <row r="11" spans="2:9" x14ac:dyDescent="0.25">
      <c r="B11" s="55" t="s">
        <v>4</v>
      </c>
      <c r="C11" s="59">
        <f>100*C8</f>
        <v>70</v>
      </c>
      <c r="D11" s="60">
        <f>100*D8</f>
        <v>84</v>
      </c>
      <c r="E11" s="60">
        <f>100*E8</f>
        <v>100.8</v>
      </c>
      <c r="F11" s="60">
        <f>100*F8</f>
        <v>100.8</v>
      </c>
      <c r="G11" s="61">
        <f>100*G8</f>
        <v>100.8</v>
      </c>
      <c r="H11" s="62">
        <f>SUM(C11:G11)</f>
        <v>456.40000000000003</v>
      </c>
    </row>
    <row r="12" spans="2:9" x14ac:dyDescent="0.25">
      <c r="B12" s="63" t="s">
        <v>5</v>
      </c>
      <c r="C12" s="64">
        <f>C11-C10-C9</f>
        <v>14</v>
      </c>
      <c r="D12" s="65">
        <f>D11-D10-D9</f>
        <v>16.800000000000004</v>
      </c>
      <c r="E12" s="65">
        <f>E11-E10-E9</f>
        <v>20.159999999999997</v>
      </c>
      <c r="F12" s="65">
        <f>F11-F10-F9</f>
        <v>20.159999999999997</v>
      </c>
      <c r="G12" s="66">
        <f>G11-G10-G9</f>
        <v>20.159999999999997</v>
      </c>
      <c r="H12" s="67">
        <f>SUM(C12:G12)</f>
        <v>91.28</v>
      </c>
    </row>
    <row r="13" spans="2:9" x14ac:dyDescent="0.25">
      <c r="B13" s="50" t="s">
        <v>29</v>
      </c>
      <c r="C13" s="51"/>
      <c r="D13" s="52"/>
      <c r="E13" s="52"/>
      <c r="F13" s="52"/>
      <c r="G13" s="53"/>
      <c r="H13" s="54"/>
    </row>
    <row r="14" spans="2:9" x14ac:dyDescent="0.25">
      <c r="B14" s="55" t="s">
        <v>18</v>
      </c>
      <c r="C14" s="56">
        <v>1</v>
      </c>
      <c r="D14" s="57">
        <f>C14*1.4</f>
        <v>1.4</v>
      </c>
      <c r="E14" s="57">
        <f>D14*1.4</f>
        <v>1.9599999999999997</v>
      </c>
      <c r="F14" s="57">
        <f>E14*1.4</f>
        <v>2.7439999999999993</v>
      </c>
      <c r="G14" s="57">
        <f>F14*1.4</f>
        <v>3.8415999999999988</v>
      </c>
      <c r="H14" s="58">
        <f>SUM(C14:G14)</f>
        <v>10.945599999999999</v>
      </c>
    </row>
    <row r="15" spans="2:9" x14ac:dyDescent="0.25">
      <c r="B15" s="55" t="s">
        <v>19</v>
      </c>
      <c r="C15" s="59">
        <f>C14*42</f>
        <v>42</v>
      </c>
      <c r="D15" s="60">
        <f>D14*42</f>
        <v>58.8</v>
      </c>
      <c r="E15" s="60">
        <f>E14*42</f>
        <v>82.32</v>
      </c>
      <c r="F15" s="60">
        <f>F14*42</f>
        <v>115.24799999999998</v>
      </c>
      <c r="G15" s="61">
        <f>G14*42</f>
        <v>161.34719999999996</v>
      </c>
      <c r="H15" s="62">
        <f>SUM(C15:G15)</f>
        <v>459.71519999999998</v>
      </c>
    </row>
    <row r="16" spans="2:9" x14ac:dyDescent="0.25">
      <c r="B16" s="55" t="s">
        <v>20</v>
      </c>
      <c r="C16" s="59">
        <f>20*C14</f>
        <v>20</v>
      </c>
      <c r="D16" s="60">
        <f>20*D14</f>
        <v>28</v>
      </c>
      <c r="E16" s="60">
        <f>20*E14</f>
        <v>39.199999999999996</v>
      </c>
      <c r="F16" s="60">
        <f>20*F14</f>
        <v>54.879999999999988</v>
      </c>
      <c r="G16" s="61">
        <f>20*G14</f>
        <v>76.831999999999979</v>
      </c>
      <c r="H16" s="62">
        <f>SUM(C16:G16)</f>
        <v>218.91199999999998</v>
      </c>
    </row>
    <row r="17" spans="2:8" x14ac:dyDescent="0.25">
      <c r="B17" s="55" t="s">
        <v>4</v>
      </c>
      <c r="C17" s="59">
        <f>100*C14</f>
        <v>100</v>
      </c>
      <c r="D17" s="60">
        <f>100*D14</f>
        <v>140</v>
      </c>
      <c r="E17" s="60">
        <f>100*E14</f>
        <v>195.99999999999997</v>
      </c>
      <c r="F17" s="60">
        <f>100*F14</f>
        <v>274.39999999999992</v>
      </c>
      <c r="G17" s="61">
        <f>100*G14</f>
        <v>384.15999999999985</v>
      </c>
      <c r="H17" s="62">
        <f>SUM(C17:G17)</f>
        <v>1094.5599999999997</v>
      </c>
    </row>
    <row r="18" spans="2:8" x14ac:dyDescent="0.25">
      <c r="B18" s="63" t="s">
        <v>5</v>
      </c>
      <c r="C18" s="64">
        <f>C17-C16-C15</f>
        <v>38</v>
      </c>
      <c r="D18" s="65">
        <f>D17-D16-D15</f>
        <v>53.2</v>
      </c>
      <c r="E18" s="65">
        <f>E17-E16-E15</f>
        <v>74.47999999999999</v>
      </c>
      <c r="F18" s="65">
        <f>F17-F16-F15</f>
        <v>104.27199999999995</v>
      </c>
      <c r="G18" s="66">
        <f>G17-G16-G15</f>
        <v>145.9807999999999</v>
      </c>
      <c r="H18" s="67">
        <f>SUM(C18:G18)</f>
        <v>415.93279999999982</v>
      </c>
    </row>
    <row r="19" spans="2:8" x14ac:dyDescent="0.25">
      <c r="B19" s="50" t="s">
        <v>30</v>
      </c>
      <c r="C19" s="51"/>
      <c r="D19" s="52"/>
      <c r="E19" s="52"/>
      <c r="F19" s="52"/>
      <c r="G19" s="53"/>
      <c r="H19" s="54"/>
    </row>
    <row r="20" spans="2:8" x14ac:dyDescent="0.25">
      <c r="B20" s="55" t="s">
        <v>2</v>
      </c>
      <c r="C20" s="56">
        <f t="shared" ref="C20:H23" si="0">C14-C8</f>
        <v>0.30000000000000004</v>
      </c>
      <c r="D20" s="57">
        <f t="shared" si="0"/>
        <v>0.55999999999999994</v>
      </c>
      <c r="E20" s="57">
        <f t="shared" si="0"/>
        <v>0.95199999999999974</v>
      </c>
      <c r="F20" s="57">
        <f t="shared" si="0"/>
        <v>1.7359999999999993</v>
      </c>
      <c r="G20" s="68">
        <f t="shared" si="0"/>
        <v>2.8335999999999988</v>
      </c>
      <c r="H20" s="58">
        <f t="shared" si="0"/>
        <v>6.3815999999999988</v>
      </c>
    </row>
    <row r="21" spans="2:8" x14ac:dyDescent="0.25">
      <c r="B21" s="55" t="s">
        <v>6</v>
      </c>
      <c r="C21" s="59">
        <f t="shared" si="0"/>
        <v>0</v>
      </c>
      <c r="D21" s="60">
        <f t="shared" si="0"/>
        <v>8.3999999999999986</v>
      </c>
      <c r="E21" s="60">
        <f t="shared" si="0"/>
        <v>21.839999999999989</v>
      </c>
      <c r="F21" s="60">
        <f t="shared" si="0"/>
        <v>54.767999999999972</v>
      </c>
      <c r="G21" s="61">
        <f t="shared" si="0"/>
        <v>100.86719999999995</v>
      </c>
      <c r="H21" s="62">
        <f t="shared" si="0"/>
        <v>185.87519999999995</v>
      </c>
    </row>
    <row r="22" spans="2:8" x14ac:dyDescent="0.25">
      <c r="B22" s="55" t="s">
        <v>21</v>
      </c>
      <c r="C22" s="59">
        <f t="shared" si="0"/>
        <v>6</v>
      </c>
      <c r="D22" s="60">
        <f t="shared" si="0"/>
        <v>11.2</v>
      </c>
      <c r="E22" s="60">
        <f t="shared" si="0"/>
        <v>19.039999999999996</v>
      </c>
      <c r="F22" s="60">
        <f t="shared" si="0"/>
        <v>34.719999999999985</v>
      </c>
      <c r="G22" s="61">
        <f t="shared" si="0"/>
        <v>56.671999999999983</v>
      </c>
      <c r="H22" s="62">
        <f t="shared" si="0"/>
        <v>127.63199999999998</v>
      </c>
    </row>
    <row r="23" spans="2:8" x14ac:dyDescent="0.25">
      <c r="B23" s="55" t="s">
        <v>7</v>
      </c>
      <c r="C23" s="59">
        <f t="shared" si="0"/>
        <v>30</v>
      </c>
      <c r="D23" s="60">
        <f t="shared" si="0"/>
        <v>56</v>
      </c>
      <c r="E23" s="60">
        <f t="shared" si="0"/>
        <v>95.199999999999974</v>
      </c>
      <c r="F23" s="60">
        <f t="shared" si="0"/>
        <v>173.59999999999991</v>
      </c>
      <c r="G23" s="61">
        <f t="shared" si="0"/>
        <v>283.35999999999984</v>
      </c>
      <c r="H23" s="62">
        <f t="shared" si="0"/>
        <v>638.15999999999963</v>
      </c>
    </row>
    <row r="24" spans="2:8" x14ac:dyDescent="0.25">
      <c r="B24" s="63" t="s">
        <v>5</v>
      </c>
      <c r="C24" s="64">
        <f t="shared" ref="C24:H24" si="1">C18-C12</f>
        <v>24</v>
      </c>
      <c r="D24" s="65">
        <f t="shared" si="1"/>
        <v>36.4</v>
      </c>
      <c r="E24" s="65">
        <f t="shared" si="1"/>
        <v>54.319999999999993</v>
      </c>
      <c r="F24" s="65">
        <f t="shared" si="1"/>
        <v>84.111999999999952</v>
      </c>
      <c r="G24" s="66">
        <f t="shared" si="1"/>
        <v>125.82079999999991</v>
      </c>
      <c r="H24" s="67">
        <f t="shared" si="1"/>
        <v>324.65279999999984</v>
      </c>
    </row>
    <row r="26" spans="2:8" x14ac:dyDescent="0.25">
      <c r="B26" s="69" t="s">
        <v>32</v>
      </c>
    </row>
    <row r="28" spans="2:8" x14ac:dyDescent="0.25">
      <c r="B28" s="70" t="s">
        <v>23</v>
      </c>
      <c r="C28" s="71"/>
    </row>
    <row r="29" spans="2:8" x14ac:dyDescent="0.25">
      <c r="B29" s="55" t="s">
        <v>11</v>
      </c>
      <c r="C29" s="55">
        <v>5000</v>
      </c>
    </row>
    <row r="30" spans="2:8" x14ac:dyDescent="0.25">
      <c r="B30" s="55" t="s">
        <v>10</v>
      </c>
      <c r="C30" s="72">
        <f>1.15*1725</f>
        <v>1983.7499999999998</v>
      </c>
    </row>
    <row r="31" spans="2:8" x14ac:dyDescent="0.25">
      <c r="B31" s="73" t="s">
        <v>1</v>
      </c>
      <c r="C31" s="74">
        <f>C30*C29</f>
        <v>9918749.9999999981</v>
      </c>
    </row>
    <row r="32" spans="2:8" x14ac:dyDescent="0.25">
      <c r="B32" s="70" t="s">
        <v>24</v>
      </c>
      <c r="C32" s="75"/>
    </row>
    <row r="33" spans="2:6" x14ac:dyDescent="0.25">
      <c r="B33" s="55" t="s">
        <v>22</v>
      </c>
      <c r="C33" s="72">
        <f>1.5*443333.33</f>
        <v>664999.995</v>
      </c>
      <c r="E33" s="76"/>
      <c r="F33" s="76"/>
    </row>
    <row r="34" spans="2:6" x14ac:dyDescent="0.25">
      <c r="B34" s="73" t="s">
        <v>1</v>
      </c>
      <c r="C34" s="74">
        <f>C33</f>
        <v>664999.995</v>
      </c>
    </row>
    <row r="35" spans="2:6" x14ac:dyDescent="0.25">
      <c r="B35" s="70" t="s">
        <v>45</v>
      </c>
      <c r="C35" s="71"/>
    </row>
    <row r="36" spans="2:6" x14ac:dyDescent="0.25">
      <c r="B36" s="55" t="s">
        <v>12</v>
      </c>
      <c r="C36" s="55">
        <v>3</v>
      </c>
    </row>
    <row r="37" spans="2:6" x14ac:dyDescent="0.25">
      <c r="B37" s="55" t="s">
        <v>15</v>
      </c>
      <c r="C37" s="72">
        <f>1.5*2216666.67</f>
        <v>3325000.0049999999</v>
      </c>
      <c r="E37" s="76"/>
    </row>
    <row r="38" spans="2:6" x14ac:dyDescent="0.25">
      <c r="B38" s="55" t="s">
        <v>34</v>
      </c>
      <c r="C38" s="72">
        <f>1.5*70933.33</f>
        <v>106399.995</v>
      </c>
      <c r="E38" s="76"/>
    </row>
    <row r="39" spans="2:6" x14ac:dyDescent="0.25">
      <c r="B39" s="55" t="s">
        <v>35</v>
      </c>
      <c r="C39" s="72">
        <f>1.5*133000</f>
        <v>199500</v>
      </c>
      <c r="E39" s="76"/>
    </row>
    <row r="40" spans="2:6" x14ac:dyDescent="0.25">
      <c r="B40" s="55" t="s">
        <v>36</v>
      </c>
      <c r="C40" s="72">
        <f>1.5*443333.33</f>
        <v>664999.995</v>
      </c>
      <c r="E40" s="76"/>
    </row>
    <row r="41" spans="2:6" x14ac:dyDescent="0.25">
      <c r="B41" s="73" t="s">
        <v>1</v>
      </c>
      <c r="C41" s="74">
        <f>C36*C37+C38+C36*C39+C40</f>
        <v>11344900.004999999</v>
      </c>
    </row>
    <row r="42" spans="2:6" x14ac:dyDescent="0.25">
      <c r="B42" s="70" t="s">
        <v>25</v>
      </c>
      <c r="C42" s="71"/>
    </row>
    <row r="43" spans="2:6" x14ac:dyDescent="0.25">
      <c r="B43" s="55" t="s">
        <v>12</v>
      </c>
      <c r="C43" s="55">
        <v>3</v>
      </c>
    </row>
    <row r="44" spans="2:6" x14ac:dyDescent="0.25">
      <c r="B44" s="55" t="s">
        <v>13</v>
      </c>
      <c r="C44" s="72">
        <f>1.5*709333.33</f>
        <v>1063999.9949999999</v>
      </c>
      <c r="E44" s="76"/>
    </row>
    <row r="45" spans="2:6" x14ac:dyDescent="0.25">
      <c r="B45" s="55" t="s">
        <v>34</v>
      </c>
      <c r="C45" s="72">
        <f>1.5*133000</f>
        <v>199500</v>
      </c>
      <c r="E45" s="76"/>
    </row>
    <row r="46" spans="2:6" x14ac:dyDescent="0.25">
      <c r="B46" s="55" t="s">
        <v>35</v>
      </c>
      <c r="C46" s="72">
        <f>1.5*221666.67</f>
        <v>332500.005</v>
      </c>
      <c r="E46" s="76"/>
    </row>
    <row r="47" spans="2:6" x14ac:dyDescent="0.25">
      <c r="B47" s="73" t="s">
        <v>1</v>
      </c>
      <c r="C47" s="74">
        <f>C43*C44+C45+C43*C46</f>
        <v>4388999.9999999991</v>
      </c>
    </row>
    <row r="48" spans="2:6" x14ac:dyDescent="0.25">
      <c r="B48" s="70" t="s">
        <v>26</v>
      </c>
      <c r="C48" s="71"/>
    </row>
    <row r="49" spans="2:7" x14ac:dyDescent="0.25">
      <c r="B49" s="55" t="s">
        <v>38</v>
      </c>
      <c r="C49" s="72">
        <f>1.5*2660000</f>
        <v>3990000</v>
      </c>
      <c r="E49" s="76"/>
    </row>
    <row r="50" spans="2:7" x14ac:dyDescent="0.25">
      <c r="B50" s="55" t="s">
        <v>39</v>
      </c>
      <c r="C50" s="72">
        <f>1.5*7093333.33</f>
        <v>10639999.995000001</v>
      </c>
      <c r="E50" s="76"/>
    </row>
    <row r="51" spans="2:7" x14ac:dyDescent="0.25">
      <c r="B51" s="73" t="s">
        <v>1</v>
      </c>
      <c r="C51" s="74">
        <f>C49+C50</f>
        <v>14629999.995000001</v>
      </c>
    </row>
    <row r="52" spans="2:7" x14ac:dyDescent="0.25">
      <c r="B52" s="70" t="s">
        <v>27</v>
      </c>
      <c r="C52" s="71"/>
    </row>
    <row r="53" spans="2:7" x14ac:dyDescent="0.25">
      <c r="B53" s="55" t="s">
        <v>40</v>
      </c>
      <c r="C53" s="72">
        <f>1.5*1241333.33</f>
        <v>1861999.9950000001</v>
      </c>
      <c r="E53" s="76"/>
    </row>
    <row r="54" spans="2:7" x14ac:dyDescent="0.25">
      <c r="B54" s="55" t="s">
        <v>41</v>
      </c>
      <c r="C54" s="72">
        <f>1.5*3103333.33</f>
        <v>4654999.9950000001</v>
      </c>
      <c r="E54" s="76"/>
    </row>
    <row r="55" spans="2:7" x14ac:dyDescent="0.25">
      <c r="B55" s="73" t="s">
        <v>1</v>
      </c>
      <c r="C55" s="74">
        <f>C53+C54</f>
        <v>6516999.9900000002</v>
      </c>
    </row>
    <row r="56" spans="2:7" x14ac:dyDescent="0.25">
      <c r="B56" s="77" t="s">
        <v>16</v>
      </c>
      <c r="C56" s="78">
        <f>C31+C34+C41+C47+C51+C55</f>
        <v>47464649.984999999</v>
      </c>
      <c r="F56" s="79"/>
    </row>
    <row r="58" spans="2:7" x14ac:dyDescent="0.25">
      <c r="B58" s="80" t="s">
        <v>33</v>
      </c>
      <c r="C58" s="81"/>
    </row>
    <row r="60" spans="2:7" x14ac:dyDescent="0.25">
      <c r="B60" s="47" t="s">
        <v>0</v>
      </c>
      <c r="C60" s="82">
        <v>1</v>
      </c>
      <c r="D60" s="48">
        <v>2</v>
      </c>
      <c r="E60" s="48">
        <v>3</v>
      </c>
      <c r="F60" s="48">
        <v>4</v>
      </c>
      <c r="G60" s="83">
        <v>5</v>
      </c>
    </row>
    <row r="61" spans="2:7" x14ac:dyDescent="0.25">
      <c r="B61" s="84" t="s">
        <v>8</v>
      </c>
      <c r="C61" s="85">
        <f>C24</f>
        <v>24</v>
      </c>
      <c r="D61" s="86">
        <f>SUM(C24:D24)</f>
        <v>60.4</v>
      </c>
      <c r="E61" s="86">
        <f>SUM(C24:E24)</f>
        <v>114.72</v>
      </c>
      <c r="F61" s="86">
        <f>SUM(C24:F24)</f>
        <v>198.83199999999994</v>
      </c>
      <c r="G61" s="87">
        <f>SUM(C24:G24)</f>
        <v>324.65279999999984</v>
      </c>
    </row>
    <row r="62" spans="2:7" x14ac:dyDescent="0.25">
      <c r="B62" s="55" t="s">
        <v>14</v>
      </c>
      <c r="C62" s="56">
        <f t="shared" ref="C62:G62" si="2">C61/($C$56/1000000)</f>
        <v>0.50563946026326101</v>
      </c>
      <c r="D62" s="57">
        <f t="shared" si="2"/>
        <v>1.2725259749958735</v>
      </c>
      <c r="E62" s="57">
        <f t="shared" si="2"/>
        <v>2.4169566200583876</v>
      </c>
      <c r="F62" s="57">
        <f t="shared" si="2"/>
        <v>4.189054381794362</v>
      </c>
      <c r="G62" s="68">
        <f t="shared" si="2"/>
        <v>6.8398861068731813</v>
      </c>
    </row>
    <row r="63" spans="2:7" x14ac:dyDescent="0.25">
      <c r="B63" s="88" t="s">
        <v>9</v>
      </c>
      <c r="C63" s="89">
        <f>(C61-($C$56/1000000))/($C$56/1000000)</f>
        <v>-0.49436053973673899</v>
      </c>
      <c r="D63" s="90">
        <f t="shared" ref="D63:G63" si="3">(D61-($C$56/1000000))/($C$56/1000000)</f>
        <v>0.2725259749958735</v>
      </c>
      <c r="E63" s="90">
        <f t="shared" si="3"/>
        <v>1.4169566200583876</v>
      </c>
      <c r="F63" s="90">
        <f t="shared" si="3"/>
        <v>3.189054381794362</v>
      </c>
      <c r="G63" s="91">
        <f t="shared" si="3"/>
        <v>5.8398861068731813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4"/>
  <sheetViews>
    <sheetView zoomScaleNormal="100" workbookViewId="0">
      <selection activeCell="F41" sqref="F41"/>
    </sheetView>
  </sheetViews>
  <sheetFormatPr baseColWidth="10" defaultColWidth="8.88671875" defaultRowHeight="13.2" x14ac:dyDescent="0.25"/>
  <cols>
    <col min="1" max="1" width="3.6640625" customWidth="1"/>
    <col min="2" max="2" width="37.88671875" customWidth="1"/>
    <col min="3" max="8" width="11.6640625" customWidth="1"/>
  </cols>
  <sheetData>
    <row r="2" spans="2:9" ht="14.25" customHeight="1" x14ac:dyDescent="0.25">
      <c r="B2" s="3" t="s">
        <v>43</v>
      </c>
      <c r="C2" s="3"/>
      <c r="D2" s="3"/>
      <c r="E2" s="3"/>
      <c r="F2" s="3"/>
    </row>
    <row r="4" spans="2:9" x14ac:dyDescent="0.25">
      <c r="B4" s="3" t="s">
        <v>31</v>
      </c>
    </row>
    <row r="6" spans="2:9" x14ac:dyDescent="0.25">
      <c r="B6" s="10" t="s">
        <v>0</v>
      </c>
      <c r="C6" s="8">
        <v>1</v>
      </c>
      <c r="D6" s="8">
        <v>2</v>
      </c>
      <c r="E6" s="8">
        <v>3</v>
      </c>
      <c r="F6" s="8">
        <v>4</v>
      </c>
      <c r="G6" s="8">
        <v>5</v>
      </c>
      <c r="H6" s="20" t="s">
        <v>1</v>
      </c>
    </row>
    <row r="7" spans="2:9" x14ac:dyDescent="0.25">
      <c r="B7" s="11" t="s">
        <v>28</v>
      </c>
      <c r="C7" s="14"/>
      <c r="D7" s="15"/>
      <c r="E7" s="15"/>
      <c r="F7" s="15"/>
      <c r="G7" s="16"/>
      <c r="H7" s="21"/>
    </row>
    <row r="8" spans="2:9" x14ac:dyDescent="0.25">
      <c r="B8" s="12" t="s">
        <v>17</v>
      </c>
      <c r="C8" s="17">
        <v>0.7</v>
      </c>
      <c r="D8" s="2">
        <f>C8*1.2</f>
        <v>0.84</v>
      </c>
      <c r="E8" s="2">
        <f>D8*1.2</f>
        <v>1.008</v>
      </c>
      <c r="F8" s="2">
        <f>E8</f>
        <v>1.008</v>
      </c>
      <c r="G8" s="2">
        <f>E8</f>
        <v>1.008</v>
      </c>
      <c r="H8" s="22">
        <f>SUM(C8:G8)</f>
        <v>4.5640000000000001</v>
      </c>
      <c r="I8" t="s">
        <v>46</v>
      </c>
    </row>
    <row r="9" spans="2:9" x14ac:dyDescent="0.25">
      <c r="B9" s="12" t="s">
        <v>3</v>
      </c>
      <c r="C9" s="18">
        <f>C8*60</f>
        <v>42</v>
      </c>
      <c r="D9" s="1">
        <f>D8*60</f>
        <v>50.4</v>
      </c>
      <c r="E9" s="1">
        <f>E8*60</f>
        <v>60.480000000000004</v>
      </c>
      <c r="F9" s="1">
        <f>F8*60</f>
        <v>60.480000000000004</v>
      </c>
      <c r="G9" s="5">
        <f>G8*60</f>
        <v>60.480000000000004</v>
      </c>
      <c r="H9" s="23">
        <f>SUM(C9:G9)</f>
        <v>273.84000000000003</v>
      </c>
    </row>
    <row r="10" spans="2:9" x14ac:dyDescent="0.25">
      <c r="B10" s="12" t="s">
        <v>20</v>
      </c>
      <c r="C10" s="18">
        <f>20*C8</f>
        <v>14</v>
      </c>
      <c r="D10" s="1">
        <f>20*D8</f>
        <v>16.8</v>
      </c>
      <c r="E10" s="1">
        <f>20*E8</f>
        <v>20.16</v>
      </c>
      <c r="F10" s="1">
        <f>20*F8</f>
        <v>20.16</v>
      </c>
      <c r="G10" s="5">
        <f>20*G8</f>
        <v>20.16</v>
      </c>
      <c r="H10" s="23">
        <f>SUM(C10:G10)</f>
        <v>91.28</v>
      </c>
    </row>
    <row r="11" spans="2:9" x14ac:dyDescent="0.25">
      <c r="B11" s="12" t="s">
        <v>4</v>
      </c>
      <c r="C11" s="18">
        <f>100*C8</f>
        <v>70</v>
      </c>
      <c r="D11" s="1">
        <f>100*D8</f>
        <v>84</v>
      </c>
      <c r="E11" s="1">
        <f>100*E8</f>
        <v>100.8</v>
      </c>
      <c r="F11" s="1">
        <f>100*F8</f>
        <v>100.8</v>
      </c>
      <c r="G11" s="5">
        <f>100*G8</f>
        <v>100.8</v>
      </c>
      <c r="H11" s="23">
        <f>SUM(C11:G11)</f>
        <v>456.40000000000003</v>
      </c>
    </row>
    <row r="12" spans="2:9" x14ac:dyDescent="0.25">
      <c r="B12" s="13" t="s">
        <v>5</v>
      </c>
      <c r="C12" s="19">
        <f>C11-C10-C9</f>
        <v>14</v>
      </c>
      <c r="D12" s="6">
        <f>D11-D10-D9</f>
        <v>16.800000000000004</v>
      </c>
      <c r="E12" s="6">
        <f>E11-E10-E9</f>
        <v>20.159999999999997</v>
      </c>
      <c r="F12" s="6">
        <f>F11-F10-F9</f>
        <v>20.159999999999997</v>
      </c>
      <c r="G12" s="7">
        <f>G11-G10-G9</f>
        <v>20.159999999999997</v>
      </c>
      <c r="H12" s="24">
        <f>SUM(C12:G12)</f>
        <v>91.28</v>
      </c>
    </row>
    <row r="13" spans="2:9" x14ac:dyDescent="0.25">
      <c r="B13" s="11" t="s">
        <v>29</v>
      </c>
      <c r="C13" s="14"/>
      <c r="D13" s="15"/>
      <c r="E13" s="15"/>
      <c r="F13" s="15"/>
      <c r="G13" s="16"/>
      <c r="H13" s="21"/>
    </row>
    <row r="14" spans="2:9" x14ac:dyDescent="0.25">
      <c r="B14" s="12" t="s">
        <v>18</v>
      </c>
      <c r="C14" s="17">
        <v>1</v>
      </c>
      <c r="D14" s="2">
        <f>C14*1.4</f>
        <v>1.4</v>
      </c>
      <c r="E14" s="2">
        <f>D14*1.4</f>
        <v>1.9599999999999997</v>
      </c>
      <c r="F14" s="2">
        <f>E14*1.4</f>
        <v>2.7439999999999993</v>
      </c>
      <c r="G14" s="2">
        <f>F14*1.4</f>
        <v>3.8415999999999988</v>
      </c>
      <c r="H14" s="22">
        <f>SUM(C14:G14)</f>
        <v>10.945599999999999</v>
      </c>
    </row>
    <row r="15" spans="2:9" x14ac:dyDescent="0.25">
      <c r="B15" s="12" t="s">
        <v>19</v>
      </c>
      <c r="C15" s="18">
        <f>C14*42</f>
        <v>42</v>
      </c>
      <c r="D15" s="1">
        <f>D14*42</f>
        <v>58.8</v>
      </c>
      <c r="E15" s="1">
        <f>E14*42</f>
        <v>82.32</v>
      </c>
      <c r="F15" s="1">
        <f>F14*42</f>
        <v>115.24799999999998</v>
      </c>
      <c r="G15" s="5">
        <f>G14*42</f>
        <v>161.34719999999996</v>
      </c>
      <c r="H15" s="23">
        <f>SUM(C15:G15)</f>
        <v>459.71519999999998</v>
      </c>
    </row>
    <row r="16" spans="2:9" x14ac:dyDescent="0.25">
      <c r="B16" s="12" t="s">
        <v>20</v>
      </c>
      <c r="C16" s="18">
        <f>20*C14</f>
        <v>20</v>
      </c>
      <c r="D16" s="1">
        <f>20*D14</f>
        <v>28</v>
      </c>
      <c r="E16" s="1">
        <f>20*E14</f>
        <v>39.199999999999996</v>
      </c>
      <c r="F16" s="1">
        <f>20*F14</f>
        <v>54.879999999999988</v>
      </c>
      <c r="G16" s="5">
        <f>20*G14</f>
        <v>76.831999999999979</v>
      </c>
      <c r="H16" s="23">
        <f>SUM(C16:G16)</f>
        <v>218.91199999999998</v>
      </c>
    </row>
    <row r="17" spans="2:8" x14ac:dyDescent="0.25">
      <c r="B17" s="12" t="s">
        <v>4</v>
      </c>
      <c r="C17" s="18">
        <f>100*C14</f>
        <v>100</v>
      </c>
      <c r="D17" s="1">
        <f>100*D14</f>
        <v>140</v>
      </c>
      <c r="E17" s="1">
        <f>100*E14</f>
        <v>195.99999999999997</v>
      </c>
      <c r="F17" s="1">
        <f>100*F14</f>
        <v>274.39999999999992</v>
      </c>
      <c r="G17" s="5">
        <f>100*G14</f>
        <v>384.15999999999985</v>
      </c>
      <c r="H17" s="23">
        <f>SUM(C17:G17)</f>
        <v>1094.5599999999997</v>
      </c>
    </row>
    <row r="18" spans="2:8" x14ac:dyDescent="0.25">
      <c r="B18" s="13" t="s">
        <v>5</v>
      </c>
      <c r="C18" s="19">
        <f>C17-C16-C15</f>
        <v>38</v>
      </c>
      <c r="D18" s="6">
        <f>D17-D16-D15</f>
        <v>53.2</v>
      </c>
      <c r="E18" s="6">
        <f>E17-E16-E15</f>
        <v>74.47999999999999</v>
      </c>
      <c r="F18" s="6">
        <f>F17-F16-F15</f>
        <v>104.27199999999995</v>
      </c>
      <c r="G18" s="7">
        <f>G17-G16-G15</f>
        <v>145.9807999999999</v>
      </c>
      <c r="H18" s="24">
        <f>SUM(C18:G18)</f>
        <v>415.93279999999982</v>
      </c>
    </row>
    <row r="19" spans="2:8" x14ac:dyDescent="0.25">
      <c r="B19" s="11" t="s">
        <v>30</v>
      </c>
      <c r="C19" s="14"/>
      <c r="D19" s="15"/>
      <c r="E19" s="15"/>
      <c r="F19" s="15"/>
      <c r="G19" s="16"/>
      <c r="H19" s="21"/>
    </row>
    <row r="20" spans="2:8" x14ac:dyDescent="0.25">
      <c r="B20" s="12" t="s">
        <v>2</v>
      </c>
      <c r="C20" s="17">
        <f t="shared" ref="C20:H24" si="0">C14-C8</f>
        <v>0.30000000000000004</v>
      </c>
      <c r="D20" s="2">
        <f t="shared" si="0"/>
        <v>0.55999999999999994</v>
      </c>
      <c r="E20" s="2">
        <f t="shared" si="0"/>
        <v>0.95199999999999974</v>
      </c>
      <c r="F20" s="2">
        <f t="shared" si="0"/>
        <v>1.7359999999999993</v>
      </c>
      <c r="G20" s="4">
        <f t="shared" si="0"/>
        <v>2.8335999999999988</v>
      </c>
      <c r="H20" s="22">
        <f t="shared" si="0"/>
        <v>6.3815999999999988</v>
      </c>
    </row>
    <row r="21" spans="2:8" x14ac:dyDescent="0.25">
      <c r="B21" s="12" t="s">
        <v>6</v>
      </c>
      <c r="C21" s="18">
        <f t="shared" si="0"/>
        <v>0</v>
      </c>
      <c r="D21" s="1">
        <f t="shared" si="0"/>
        <v>8.3999999999999986</v>
      </c>
      <c r="E21" s="1">
        <f t="shared" si="0"/>
        <v>21.839999999999989</v>
      </c>
      <c r="F21" s="1">
        <f t="shared" si="0"/>
        <v>54.767999999999972</v>
      </c>
      <c r="G21" s="5">
        <f t="shared" si="0"/>
        <v>100.86719999999995</v>
      </c>
      <c r="H21" s="23">
        <f t="shared" si="0"/>
        <v>185.87519999999995</v>
      </c>
    </row>
    <row r="22" spans="2:8" x14ac:dyDescent="0.25">
      <c r="B22" s="12" t="s">
        <v>21</v>
      </c>
      <c r="C22" s="18">
        <f t="shared" si="0"/>
        <v>6</v>
      </c>
      <c r="D22" s="1">
        <f t="shared" si="0"/>
        <v>11.2</v>
      </c>
      <c r="E22" s="1">
        <f t="shared" si="0"/>
        <v>19.039999999999996</v>
      </c>
      <c r="F22" s="1">
        <f t="shared" si="0"/>
        <v>34.719999999999985</v>
      </c>
      <c r="G22" s="5">
        <f t="shared" si="0"/>
        <v>56.671999999999983</v>
      </c>
      <c r="H22" s="23">
        <f t="shared" si="0"/>
        <v>127.63199999999998</v>
      </c>
    </row>
    <row r="23" spans="2:8" x14ac:dyDescent="0.25">
      <c r="B23" s="12" t="s">
        <v>7</v>
      </c>
      <c r="C23" s="18">
        <f t="shared" si="0"/>
        <v>30</v>
      </c>
      <c r="D23" s="1">
        <f t="shared" si="0"/>
        <v>56</v>
      </c>
      <c r="E23" s="1">
        <f t="shared" si="0"/>
        <v>95.199999999999974</v>
      </c>
      <c r="F23" s="1">
        <f t="shared" si="0"/>
        <v>173.59999999999991</v>
      </c>
      <c r="G23" s="5">
        <f t="shared" si="0"/>
        <v>283.35999999999984</v>
      </c>
      <c r="H23" s="23">
        <f t="shared" si="0"/>
        <v>638.15999999999963</v>
      </c>
    </row>
    <row r="24" spans="2:8" x14ac:dyDescent="0.25">
      <c r="B24" s="13" t="s">
        <v>5</v>
      </c>
      <c r="C24" s="19">
        <f t="shared" si="0"/>
        <v>24</v>
      </c>
      <c r="D24" s="6">
        <f t="shared" si="0"/>
        <v>36.4</v>
      </c>
      <c r="E24" s="6">
        <f t="shared" si="0"/>
        <v>54.319999999999993</v>
      </c>
      <c r="F24" s="6">
        <f t="shared" si="0"/>
        <v>84.111999999999952</v>
      </c>
      <c r="G24" s="7">
        <f t="shared" si="0"/>
        <v>125.82079999999991</v>
      </c>
      <c r="H24" s="24">
        <f t="shared" si="0"/>
        <v>324.65279999999984</v>
      </c>
    </row>
    <row r="26" spans="2:8" x14ac:dyDescent="0.25">
      <c r="B26" s="25" t="s">
        <v>32</v>
      </c>
    </row>
    <row r="28" spans="2:8" x14ac:dyDescent="0.25">
      <c r="B28" s="26" t="s">
        <v>23</v>
      </c>
      <c r="C28" s="27"/>
    </row>
    <row r="29" spans="2:8" x14ac:dyDescent="0.25">
      <c r="B29" s="12" t="s">
        <v>11</v>
      </c>
      <c r="C29" s="12">
        <v>5000</v>
      </c>
    </row>
    <row r="30" spans="2:8" x14ac:dyDescent="0.25">
      <c r="B30" s="12" t="s">
        <v>10</v>
      </c>
      <c r="C30" s="28">
        <v>1850</v>
      </c>
    </row>
    <row r="31" spans="2:8" x14ac:dyDescent="0.25">
      <c r="B31" s="42" t="s">
        <v>1</v>
      </c>
      <c r="C31" s="43">
        <f>C30*C29</f>
        <v>9250000</v>
      </c>
    </row>
    <row r="32" spans="2:8" x14ac:dyDescent="0.25">
      <c r="B32" s="26" t="s">
        <v>24</v>
      </c>
      <c r="C32" s="44"/>
    </row>
    <row r="33" spans="2:3" x14ac:dyDescent="0.25">
      <c r="B33" s="12" t="s">
        <v>22</v>
      </c>
      <c r="C33" s="28">
        <v>565000</v>
      </c>
    </row>
    <row r="34" spans="2:3" x14ac:dyDescent="0.25">
      <c r="B34" s="42" t="s">
        <v>1</v>
      </c>
      <c r="C34" s="43">
        <f>C33</f>
        <v>565000</v>
      </c>
    </row>
    <row r="35" spans="2:3" x14ac:dyDescent="0.25">
      <c r="B35" s="26" t="s">
        <v>45</v>
      </c>
      <c r="C35" s="27"/>
    </row>
    <row r="36" spans="2:3" x14ac:dyDescent="0.25">
      <c r="B36" s="12" t="s">
        <v>12</v>
      </c>
      <c r="C36" s="12">
        <v>3</v>
      </c>
    </row>
    <row r="37" spans="2:3" x14ac:dyDescent="0.25">
      <c r="B37" s="12" t="s">
        <v>15</v>
      </c>
      <c r="C37" s="28">
        <v>3000000</v>
      </c>
    </row>
    <row r="38" spans="2:3" x14ac:dyDescent="0.25">
      <c r="B38" s="12" t="s">
        <v>34</v>
      </c>
      <c r="C38" s="28">
        <v>100000</v>
      </c>
    </row>
    <row r="39" spans="2:3" x14ac:dyDescent="0.25">
      <c r="B39" s="12" t="s">
        <v>35</v>
      </c>
      <c r="C39" s="28">
        <v>200000</v>
      </c>
    </row>
    <row r="40" spans="2:3" x14ac:dyDescent="0.25">
      <c r="B40" s="12" t="s">
        <v>36</v>
      </c>
      <c r="C40" s="28">
        <v>777000</v>
      </c>
    </row>
    <row r="41" spans="2:3" x14ac:dyDescent="0.25">
      <c r="B41" s="42" t="s">
        <v>1</v>
      </c>
      <c r="C41" s="43">
        <f>C36*C37+C38+C36*C39+C40</f>
        <v>10477000</v>
      </c>
    </row>
    <row r="42" spans="2:3" x14ac:dyDescent="0.25">
      <c r="B42" s="26" t="s">
        <v>25</v>
      </c>
      <c r="C42" s="27"/>
    </row>
    <row r="43" spans="2:3" x14ac:dyDescent="0.25">
      <c r="B43" s="12" t="s">
        <v>12</v>
      </c>
      <c r="C43" s="12">
        <v>3</v>
      </c>
    </row>
    <row r="44" spans="2:3" x14ac:dyDescent="0.25">
      <c r="B44" s="12" t="s">
        <v>13</v>
      </c>
      <c r="C44" s="28">
        <v>1100000</v>
      </c>
    </row>
    <row r="45" spans="2:3" x14ac:dyDescent="0.25">
      <c r="B45" s="12" t="s">
        <v>34</v>
      </c>
      <c r="C45" s="28">
        <v>200000</v>
      </c>
    </row>
    <row r="46" spans="2:3" x14ac:dyDescent="0.25">
      <c r="B46" s="12" t="s">
        <v>35</v>
      </c>
      <c r="C46" s="28">
        <v>300000</v>
      </c>
    </row>
    <row r="47" spans="2:3" x14ac:dyDescent="0.25">
      <c r="B47" s="42" t="s">
        <v>1</v>
      </c>
      <c r="C47" s="43">
        <f>C43*C44+C45+C43*C46</f>
        <v>4400000</v>
      </c>
    </row>
    <row r="48" spans="2:3" x14ac:dyDescent="0.25">
      <c r="B48" s="26" t="s">
        <v>26</v>
      </c>
      <c r="C48" s="27"/>
    </row>
    <row r="49" spans="2:7" x14ac:dyDescent="0.25">
      <c r="B49" s="12" t="s">
        <v>38</v>
      </c>
      <c r="C49" s="28">
        <v>3283000</v>
      </c>
    </row>
    <row r="50" spans="2:7" x14ac:dyDescent="0.25">
      <c r="B50" s="12" t="s">
        <v>39</v>
      </c>
      <c r="C50" s="28">
        <v>9680000</v>
      </c>
    </row>
    <row r="51" spans="2:7" x14ac:dyDescent="0.25">
      <c r="B51" s="12" t="s">
        <v>37</v>
      </c>
      <c r="C51" s="28">
        <v>66400</v>
      </c>
      <c r="D51" t="s">
        <v>44</v>
      </c>
    </row>
    <row r="52" spans="2:7" x14ac:dyDescent="0.25">
      <c r="B52" s="42" t="s">
        <v>1</v>
      </c>
      <c r="C52" s="43">
        <f>C49+C50+C51</f>
        <v>13029400</v>
      </c>
    </row>
    <row r="53" spans="2:7" x14ac:dyDescent="0.25">
      <c r="B53" s="26" t="s">
        <v>27</v>
      </c>
      <c r="C53" s="27"/>
    </row>
    <row r="54" spans="2:7" x14ac:dyDescent="0.25">
      <c r="B54" s="12" t="s">
        <v>40</v>
      </c>
      <c r="C54" s="28">
        <v>1695960</v>
      </c>
    </row>
    <row r="55" spans="2:7" x14ac:dyDescent="0.25">
      <c r="B55" s="12" t="s">
        <v>41</v>
      </c>
      <c r="C55" s="28">
        <v>5050000</v>
      </c>
    </row>
    <row r="56" spans="2:7" x14ac:dyDescent="0.25">
      <c r="B56" s="42" t="s">
        <v>1</v>
      </c>
      <c r="C56" s="43">
        <f>C54+C55</f>
        <v>6745960</v>
      </c>
    </row>
    <row r="57" spans="2:7" x14ac:dyDescent="0.25">
      <c r="B57" s="29" t="s">
        <v>16</v>
      </c>
      <c r="C57" s="30">
        <f>C31+C34+C41+C47+C52+C56</f>
        <v>44467360</v>
      </c>
    </row>
    <row r="59" spans="2:7" x14ac:dyDescent="0.25">
      <c r="B59" s="31" t="s">
        <v>33</v>
      </c>
      <c r="C59" s="32"/>
    </row>
    <row r="61" spans="2:7" x14ac:dyDescent="0.25">
      <c r="B61" s="10" t="s">
        <v>0</v>
      </c>
      <c r="C61" s="35">
        <v>1</v>
      </c>
      <c r="D61" s="8">
        <v>2</v>
      </c>
      <c r="E61" s="8">
        <v>3</v>
      </c>
      <c r="F61" s="8">
        <v>4</v>
      </c>
      <c r="G61" s="9">
        <v>5</v>
      </c>
    </row>
    <row r="62" spans="2:7" x14ac:dyDescent="0.25">
      <c r="B62" s="33" t="s">
        <v>8</v>
      </c>
      <c r="C62" s="36">
        <f>C24</f>
        <v>24</v>
      </c>
      <c r="D62" s="37">
        <f>SUM(C24:D24)</f>
        <v>60.4</v>
      </c>
      <c r="E62" s="37">
        <f>SUM(C24:E24)</f>
        <v>114.72</v>
      </c>
      <c r="F62" s="37">
        <f>SUM(C24:F24)</f>
        <v>198.83199999999994</v>
      </c>
      <c r="G62" s="38">
        <f>SUM(C24:G24)</f>
        <v>324.65279999999984</v>
      </c>
    </row>
    <row r="63" spans="2:7" x14ac:dyDescent="0.25">
      <c r="B63" s="12" t="s">
        <v>14</v>
      </c>
      <c r="C63" s="17">
        <f t="shared" ref="C63:G63" si="1">C62/($C$57/1000000)</f>
        <v>0.53972171948143532</v>
      </c>
      <c r="D63" s="2">
        <f t="shared" si="1"/>
        <v>1.3582996606949456</v>
      </c>
      <c r="E63" s="2">
        <f t="shared" si="1"/>
        <v>2.579869819121261</v>
      </c>
      <c r="F63" s="2">
        <f t="shared" si="1"/>
        <v>4.471414538663864</v>
      </c>
      <c r="G63" s="4">
        <f t="shared" si="1"/>
        <v>7.3009236437692691</v>
      </c>
    </row>
    <row r="64" spans="2:7" x14ac:dyDescent="0.25">
      <c r="B64" s="34" t="s">
        <v>9</v>
      </c>
      <c r="C64" s="39">
        <f t="shared" ref="C64:G64" si="2">(C62-($C$57/1000000))/($C$57/1000000)</f>
        <v>-0.46027828051856462</v>
      </c>
      <c r="D64" s="40">
        <f t="shared" si="2"/>
        <v>0.35829966069494568</v>
      </c>
      <c r="E64" s="40">
        <f t="shared" si="2"/>
        <v>1.579869819121261</v>
      </c>
      <c r="F64" s="40">
        <f t="shared" si="2"/>
        <v>3.471414538663864</v>
      </c>
      <c r="G64" s="41">
        <f t="shared" si="2"/>
        <v>6.3009236437692691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73479B3B86DF4F88CDECC6BD6FA5DC" ma:contentTypeVersion="18" ma:contentTypeDescription="Opprett et nytt dokument." ma:contentTypeScope="" ma:versionID="3754159ff34ddc46912f79acf55780a3">
  <xsd:schema xmlns:xsd="http://www.w3.org/2001/XMLSchema" xmlns:xs="http://www.w3.org/2001/XMLSchema" xmlns:p="http://schemas.microsoft.com/office/2006/metadata/properties" xmlns:ns2="15700c87-5547-428e-a808-210cffccada0" xmlns:ns3="400c38e1-b6e2-4061-96f5-3a83e4f3492a" targetNamespace="http://schemas.microsoft.com/office/2006/metadata/properties" ma:root="true" ma:fieldsID="ce4b15addf7a06b7b5dc3085e9adc893" ns2:_="" ns3:_="">
    <xsd:import namespace="15700c87-5547-428e-a808-210cffccada0"/>
    <xsd:import namespace="400c38e1-b6e2-4061-96f5-3a83e4f34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0c87-5547-428e-a808-210cffcca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7b32657b-12f9-4180-b5be-a75843c42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c38e1-b6e2-4061-96f5-3a83e4f34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6cb161f-45c3-42c7-a6e9-be8c41fa98c8}" ma:internalName="TaxCatchAll" ma:showField="CatchAllData" ma:web="400c38e1-b6e2-4061-96f5-3a83e4f349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0c38e1-b6e2-4061-96f5-3a83e4f3492a" xsi:nil="true"/>
    <lcf76f155ced4ddcb4097134ff3c332f xmlns="15700c87-5547-428e-a808-210cffcca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B140F0-20FB-436D-BD92-22CE3490E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00c87-5547-428e-a808-210cffccada0"/>
    <ds:schemaRef ds:uri="400c38e1-b6e2-4061-96f5-3a83e4f34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D7C4DB-5BFE-4971-84C0-4D0C67F76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89438A-8FC9-435A-8345-5F7C06CD6958}">
  <ds:schemaRefs>
    <ds:schemaRef ds:uri="http://schemas.microsoft.com/office/2006/metadata/properties"/>
    <ds:schemaRef ds:uri="http://schemas.microsoft.com/office/infopath/2007/PartnerControls"/>
    <ds:schemaRef ds:uri="400c38e1-b6e2-4061-96f5-3a83e4f3492a"/>
    <ds:schemaRef ds:uri="15700c87-5547-428e-a808-210cffccad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1507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Initiation</vt:lpstr>
      <vt:lpstr>Planning</vt:lpstr>
    </vt:vector>
  </TitlesOfParts>
  <Company>DeeplyPracticalPM.com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Magical Devices Version 3</dc:title>
  <dc:subject/>
  <dc:creator>William Stewart</dc:creator>
  <dc:description/>
  <cp:lastModifiedBy>Bård Inge Austigard Pettersen</cp:lastModifiedBy>
  <cp:revision>23</cp:revision>
  <cp:lastPrinted>2024-08-30T16:34:46Z</cp:lastPrinted>
  <dcterms:created xsi:type="dcterms:W3CDTF">2019-10-11T09:05:12Z</dcterms:created>
  <dcterms:modified xsi:type="dcterms:W3CDTF">2025-03-04T02:36:28Z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0x0101001D73479B3B86DF4F88CDECC6BD6FA5DC</vt:lpwstr>
  </property>
  <property fmtid="{D5CDD505-2E9C-101B-9397-08002B2CF9AE}" pid="3" name="MediaServiceImageTags">
    <vt:lpwstr/>
  </property>
</Properties>
</file>