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nstillinger" sheetId="1" state="visible" r:id="rId1"/>
    <sheet xmlns:r="http://schemas.openxmlformats.org/officeDocument/2006/relationships" name="Inngang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Bruksanvis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kr&quot;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i val="1"/>
      <color rgb="00555555"/>
    </font>
    <font>
      <b val="1"/>
      <color rgb="00FFFFFF"/>
      <sz val="13"/>
    </font>
    <font>
      <b val="1"/>
      <sz val="11"/>
    </font>
    <font>
      <b val="1"/>
      <sz val="12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2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0" borderId="1" pivotButton="0" quotePrefix="0" xfId="0"/>
    <xf numFmtId="164" fontId="3" fillId="4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2" fontId="6" fillId="4" borderId="1" applyAlignment="1" pivotButton="0" quotePrefix="0" xfId="0">
      <alignment horizontal="center"/>
    </xf>
    <xf numFmtId="0" fontId="7" fillId="0" borderId="0" pivotButton="0" quotePrefix="0" xfId="0"/>
    <xf numFmtId="0" fontId="0" fillId="5" borderId="1" pivotButton="0" quotePrefix="0" xfId="0"/>
    <xf numFmtId="164" fontId="0" fillId="5" borderId="1" pivotButton="0" quotePrefix="0" xfId="0"/>
    <xf numFmtId="2" fontId="0" fillId="5" borderId="1" pivotButton="0" quotePrefix="0" xfId="0"/>
    <xf numFmtId="0" fontId="0" fillId="0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S-kurve — kumulativ PV, EV og AC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'Dashboard'!$A$9:$A$16</f>
            </numRef>
          </cat>
          <val>
            <numRef>
              <f>'Dashboard'!$B$9:$B$16</f>
            </numRef>
          </val>
        </ser>
        <ser>
          <idx val="1"/>
          <order val="1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'Dashboard'!$A$9:$A$16</f>
            </numRef>
          </cat>
          <val>
            <numRef>
              <f>'Dashboard'!$C$9:$C$16</f>
            </numRef>
          </val>
        </ser>
        <ser>
          <idx val="2"/>
          <order val="2"/>
          <tx>
            <strRef>
              <f>'Dashboard'!D8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'Dashboard'!$A$9:$A$16</f>
            </numRef>
          </cat>
          <val>
            <numRef>
              <f>'Dashboard'!$D$9:$D$16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Måned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</cols>
  <sheetData>
    <row r="1" ht="24" customHeight="1">
      <c r="A1" s="1" t="inlineStr">
        <is>
          <t>EVM-arbeidsbok — Nye Hædda barneskole</t>
        </is>
      </c>
    </row>
    <row r="3">
      <c r="A3" s="2" t="inlineStr">
        <is>
          <t>Parameter</t>
        </is>
      </c>
      <c r="B3" s="2" t="inlineStr">
        <is>
          <t>Verdi</t>
        </is>
      </c>
      <c r="C3" s="2" t="inlineStr">
        <is>
          <t>Kommentar</t>
        </is>
      </c>
    </row>
    <row r="4">
      <c r="A4" s="3" t="inlineStr">
        <is>
          <t>Prosjektnavn</t>
        </is>
      </c>
      <c r="B4" t="inlineStr">
        <is>
          <t>Nye Hædda barneskole</t>
        </is>
      </c>
      <c r="C4" s="4" t="inlineStr">
        <is>
          <t>Fast</t>
        </is>
      </c>
    </row>
    <row r="5">
      <c r="A5" s="3" t="inlineStr">
        <is>
          <t>BAC (Budget at Completion)</t>
        </is>
      </c>
      <c r="B5" s="5" t="n">
        <v>100000000</v>
      </c>
      <c r="C5" s="4" t="inlineStr">
        <is>
          <t>Total godkjent budsjett — fra Bårds tall</t>
        </is>
      </c>
    </row>
    <row r="6">
      <c r="A6" s="3" t="inlineStr">
        <is>
          <t>Prosjektstart</t>
        </is>
      </c>
      <c r="B6" t="inlineStr">
        <is>
          <t>Januar 2026</t>
        </is>
      </c>
      <c r="C6" s="4" t="inlineStr">
        <is>
          <t>Fra MS Project</t>
        </is>
      </c>
    </row>
    <row r="7">
      <c r="A7" s="3" t="inlineStr">
        <is>
          <t>Prosjektslutt (planlagt)</t>
        </is>
      </c>
      <c r="B7" t="inlineStr">
        <is>
          <t>August 2026</t>
        </is>
      </c>
      <c r="C7" s="4" t="inlineStr">
        <is>
          <t>Fra MS Project</t>
        </is>
      </c>
    </row>
    <row r="8">
      <c r="A8" s="3" t="inlineStr">
        <is>
          <t>Antall måneder</t>
        </is>
      </c>
      <c r="B8" t="n">
        <v>8</v>
      </c>
      <c r="C8" s="4" t="inlineStr">
        <is>
          <t>Beregnes fra start–slutt</t>
        </is>
      </c>
    </row>
    <row r="9">
      <c r="A9" s="3" t="inlineStr">
        <is>
          <t>Valuta</t>
        </is>
      </c>
      <c r="B9" t="inlineStr">
        <is>
          <t>NOK (kr)</t>
        </is>
      </c>
      <c r="C9" s="4" t="inlineStr"/>
    </row>
    <row r="10">
      <c r="A10" s="3" t="inlineStr">
        <is>
          <t>Versjon</t>
        </is>
      </c>
      <c r="B10" t="inlineStr">
        <is>
          <t>1.0 — sample-data</t>
        </is>
      </c>
      <c r="C10" s="4" t="inlineStr">
        <is>
          <t>Bytt sample-data ut med Bårds tall i 'Inngang'-arket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30" customWidth="1" min="5" max="5"/>
  </cols>
  <sheetData>
    <row r="1" ht="22" customHeight="1">
      <c r="A1" s="6" t="inlineStr">
        <is>
          <t>Månedlig inngang — PV planlagt, AC faktisk, % complete</t>
        </is>
      </c>
    </row>
    <row r="2">
      <c r="A2" s="4" t="inlineStr">
        <is>
          <t>GUL = manuell input. Rader for fremtidige måneder kan stå tomme.</t>
        </is>
      </c>
    </row>
    <row r="4">
      <c r="A4" s="7" t="inlineStr">
        <is>
          <t>Måned</t>
        </is>
      </c>
      <c r="B4" s="7" t="inlineStr">
        <is>
          <t>PV planlagt (kr)</t>
        </is>
      </c>
      <c r="C4" s="7" t="inlineStr">
        <is>
          <t>AC faktisk (kr)</t>
        </is>
      </c>
      <c r="D4" s="7" t="inlineStr">
        <is>
          <t>% complete kum.</t>
        </is>
      </c>
      <c r="E4" s="7" t="inlineStr">
        <is>
          <t>Kommentar</t>
        </is>
      </c>
    </row>
    <row r="5">
      <c r="A5" s="8" t="inlineStr">
        <is>
          <t>Jan 2026</t>
        </is>
      </c>
      <c r="B5" s="9" t="n">
        <v>3000000</v>
      </c>
      <c r="C5" s="9" t="n">
        <v>3500000</v>
      </c>
      <c r="D5" s="10" t="n">
        <v>0.025</v>
      </c>
      <c r="E5" s="11" t="n"/>
    </row>
    <row r="6">
      <c r="A6" s="8" t="inlineStr">
        <is>
          <t>Feb 2026</t>
        </is>
      </c>
      <c r="B6" s="9" t="n">
        <v>7000000</v>
      </c>
      <c r="C6" s="9" t="n">
        <v>7800000</v>
      </c>
      <c r="D6" s="10" t="n">
        <v>0.09</v>
      </c>
      <c r="E6" s="11" t="n"/>
    </row>
    <row r="7">
      <c r="A7" s="8" t="inlineStr">
        <is>
          <t>Mar 2026</t>
        </is>
      </c>
      <c r="B7" s="9" t="n">
        <v>12000000</v>
      </c>
      <c r="C7" s="9" t="n">
        <v>13200000</v>
      </c>
      <c r="D7" s="10" t="n">
        <v>0.195</v>
      </c>
      <c r="E7" s="11" t="n"/>
    </row>
    <row r="8">
      <c r="A8" s="8" t="inlineStr">
        <is>
          <t>Apr 2026</t>
        </is>
      </c>
      <c r="B8" s="9" t="n">
        <v>18000000</v>
      </c>
      <c r="C8" s="9" t="n">
        <v>19500000</v>
      </c>
      <c r="D8" s="10" t="n">
        <v>0.36</v>
      </c>
      <c r="E8" s="11" t="n"/>
    </row>
    <row r="9">
      <c r="A9" s="8" t="inlineStr">
        <is>
          <t>Mai 2026</t>
        </is>
      </c>
      <c r="B9" s="9" t="n">
        <v>22000000</v>
      </c>
      <c r="C9" s="9" t="n"/>
      <c r="D9" s="10" t="n"/>
      <c r="E9" s="11" t="n"/>
    </row>
    <row r="10">
      <c r="A10" s="8" t="inlineStr">
        <is>
          <t>Jun 2026</t>
        </is>
      </c>
      <c r="B10" s="9" t="n">
        <v>18000000</v>
      </c>
      <c r="C10" s="9" t="n"/>
      <c r="D10" s="10" t="n"/>
      <c r="E10" s="11" t="n"/>
    </row>
    <row r="11">
      <c r="A11" s="8" t="inlineStr">
        <is>
          <t>Jul 2026</t>
        </is>
      </c>
      <c r="B11" s="9" t="n">
        <v>12000000</v>
      </c>
      <c r="C11" s="9" t="n"/>
      <c r="D11" s="10" t="n"/>
      <c r="E11" s="11" t="n"/>
    </row>
    <row r="12">
      <c r="A12" s="8" t="inlineStr">
        <is>
          <t>Aug 2026</t>
        </is>
      </c>
      <c r="B12" s="9" t="n">
        <v>8000000</v>
      </c>
      <c r="C12" s="9" t="n"/>
      <c r="D12" s="10" t="n"/>
      <c r="E12" s="11" t="n"/>
    </row>
    <row r="13">
      <c r="A13" s="3" t="inlineStr">
        <is>
          <t>SUM PV (skal være = BAC)</t>
        </is>
      </c>
      <c r="B13" s="12">
        <f>SUM(B5:B12)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8" customWidth="1" min="5" max="5"/>
    <col width="8" customWidth="1" min="6" max="6"/>
    <col width="16" customWidth="1" min="7" max="7"/>
    <col width="16" customWidth="1" min="8" max="8"/>
    <col width="16" customWidth="1" min="9" max="9"/>
  </cols>
  <sheetData>
    <row r="1" ht="24" customHeight="1">
      <c r="A1" s="13" t="inlineStr">
        <is>
          <t>Dashboard — EVM, S-kurve, KPI-er</t>
        </is>
      </c>
    </row>
    <row r="3">
      <c r="A3" s="3" t="inlineStr">
        <is>
          <t>Sist oppdaterte måned (autodetekt):</t>
        </is>
      </c>
      <c r="B3">
        <f>INDEX(Inngang!A5:A12,MATCH(1E+300,Inngang!C5:C12))</f>
        <v/>
      </c>
    </row>
    <row r="4">
      <c r="B4" s="14" t="inlineStr">
        <is>
          <t>BAC</t>
        </is>
      </c>
      <c r="C4" s="14" t="inlineStr">
        <is>
          <t>PV kum.</t>
        </is>
      </c>
      <c r="D4" s="14" t="inlineStr">
        <is>
          <t>EV kum.</t>
        </is>
      </c>
      <c r="E4" s="14" t="inlineStr">
        <is>
          <t>AC kum.</t>
        </is>
      </c>
      <c r="F4" s="14" t="inlineStr">
        <is>
          <t>CPI</t>
        </is>
      </c>
      <c r="G4" s="14" t="inlineStr">
        <is>
          <t>SPI</t>
        </is>
      </c>
      <c r="H4" s="14" t="inlineStr">
        <is>
          <t>EAC</t>
        </is>
      </c>
      <c r="I4" s="14" t="inlineStr">
        <is>
          <t>VAC</t>
        </is>
      </c>
    </row>
    <row r="5">
      <c r="B5" s="15">
        <f>'Innstillinger'!B5</f>
        <v/>
      </c>
      <c r="C5" s="15">
        <f>INDEX(B9:B16,MATCH(1E+300,B9:B16))</f>
        <v/>
      </c>
      <c r="D5" s="15">
        <f>INDEX(C9:C16,MATCH(1E+300,C9:C16))</f>
        <v/>
      </c>
      <c r="E5" s="15">
        <f>INDEX(D9:D16,MATCH(1E+300,D9:D16))</f>
        <v/>
      </c>
      <c r="F5" s="16">
        <f>INDEX(E9:E16,MATCH(1E+300,E9:E16))</f>
        <v/>
      </c>
      <c r="G5" s="16">
        <f>INDEX(F9:F16,MATCH(1E+300,F9:F16))</f>
        <v/>
      </c>
      <c r="H5" s="15">
        <f>INDEX(G9:G16,MATCH(1E+300,G9:G16))</f>
        <v/>
      </c>
      <c r="I5" s="15">
        <f>INDEX(H9:H16,MATCH(1E+300,H9:H16))</f>
        <v/>
      </c>
    </row>
    <row r="7">
      <c r="A7" s="17" t="inlineStr">
        <is>
          <t>Måned-for-måned EVM</t>
        </is>
      </c>
    </row>
    <row r="8">
      <c r="A8" s="7" t="inlineStr">
        <is>
          <t>Måned</t>
        </is>
      </c>
      <c r="B8" s="7" t="inlineStr">
        <is>
          <t>PV kum (kr)</t>
        </is>
      </c>
      <c r="C8" s="7" t="inlineStr">
        <is>
          <t>EV kum (kr)</t>
        </is>
      </c>
      <c r="D8" s="7" t="inlineStr">
        <is>
          <t>AC kum (kr)</t>
        </is>
      </c>
      <c r="E8" s="7" t="inlineStr">
        <is>
          <t>CPI</t>
        </is>
      </c>
      <c r="F8" s="7" t="inlineStr">
        <is>
          <t>SPI</t>
        </is>
      </c>
      <c r="G8" s="7" t="inlineStr">
        <is>
          <t>EAC (kr)</t>
        </is>
      </c>
      <c r="H8" s="7" t="inlineStr">
        <is>
          <t>VAC (kr)</t>
        </is>
      </c>
      <c r="I8" s="7" t="inlineStr">
        <is>
          <t>Status</t>
        </is>
      </c>
    </row>
    <row r="9">
      <c r="A9" s="18">
        <f>Inngang!A5</f>
        <v/>
      </c>
      <c r="B9" s="19">
        <f>IF(Inngang!B5="","",SUM(Inngang!B$5:B5))</f>
        <v/>
      </c>
      <c r="C9" s="19">
        <f>IF(Inngang!D5="","",Innstillinger!B$5*Inngang!D5)</f>
        <v/>
      </c>
      <c r="D9" s="19">
        <f>IF(Inngang!C5="","",SUM(Inngang!C$5:C5))</f>
        <v/>
      </c>
      <c r="E9" s="20">
        <f>IFERROR(C9/D9,"")</f>
        <v/>
      </c>
      <c r="F9" s="20">
        <f>IFERROR(C9/B9,"")</f>
        <v/>
      </c>
      <c r="G9" s="19">
        <f>IFERROR(Innstillinger!B$5/E9,"")</f>
        <v/>
      </c>
      <c r="H9" s="19">
        <f>IFERROR(Innstillinger!B$5-G9,"")</f>
        <v/>
      </c>
      <c r="I9" s="18">
        <f>IF(E9="","Ikke startet",IF(AND(E9&gt;=1,F9&gt;=1),"På plan",IF(OR(E9&lt;0.9,F9&lt;0.9),"Kritisk avvik","Mindre avvik")))</f>
        <v/>
      </c>
    </row>
    <row r="10">
      <c r="A10" s="18">
        <f>Inngang!A6</f>
        <v/>
      </c>
      <c r="B10" s="19">
        <f>IF(Inngang!B6="","",SUM(Inngang!B$5:B6))</f>
        <v/>
      </c>
      <c r="C10" s="19">
        <f>IF(Inngang!D6="","",Innstillinger!B$5*Inngang!D6)</f>
        <v/>
      </c>
      <c r="D10" s="19">
        <f>IF(Inngang!C6="","",SUM(Inngang!C$5:C6))</f>
        <v/>
      </c>
      <c r="E10" s="20">
        <f>IFERROR(C10/D10,"")</f>
        <v/>
      </c>
      <c r="F10" s="20">
        <f>IFERROR(C10/B10,"")</f>
        <v/>
      </c>
      <c r="G10" s="19">
        <f>IFERROR(Innstillinger!B$5/E10,"")</f>
        <v/>
      </c>
      <c r="H10" s="19">
        <f>IFERROR(Innstillinger!B$5-G10,"")</f>
        <v/>
      </c>
      <c r="I10" s="18">
        <f>IF(E10="","Ikke startet",IF(AND(E10&gt;=1,F10&gt;=1),"På plan",IF(OR(E10&lt;0.9,F10&lt;0.9),"Kritisk avvik","Mindre avvik")))</f>
        <v/>
      </c>
    </row>
    <row r="11">
      <c r="A11" s="18">
        <f>Inngang!A7</f>
        <v/>
      </c>
      <c r="B11" s="19">
        <f>IF(Inngang!B7="","",SUM(Inngang!B$5:B7))</f>
        <v/>
      </c>
      <c r="C11" s="19">
        <f>IF(Inngang!D7="","",Innstillinger!B$5*Inngang!D7)</f>
        <v/>
      </c>
      <c r="D11" s="19">
        <f>IF(Inngang!C7="","",SUM(Inngang!C$5:C7))</f>
        <v/>
      </c>
      <c r="E11" s="20">
        <f>IFERROR(C11/D11,"")</f>
        <v/>
      </c>
      <c r="F11" s="20">
        <f>IFERROR(C11/B11,"")</f>
        <v/>
      </c>
      <c r="G11" s="19">
        <f>IFERROR(Innstillinger!B$5/E11,"")</f>
        <v/>
      </c>
      <c r="H11" s="19">
        <f>IFERROR(Innstillinger!B$5-G11,"")</f>
        <v/>
      </c>
      <c r="I11" s="18">
        <f>IF(E11="","Ikke startet",IF(AND(E11&gt;=1,F11&gt;=1),"På plan",IF(OR(E11&lt;0.9,F11&lt;0.9),"Kritisk avvik","Mindre avvik")))</f>
        <v/>
      </c>
    </row>
    <row r="12">
      <c r="A12" s="18">
        <f>Inngang!A8</f>
        <v/>
      </c>
      <c r="B12" s="19">
        <f>IF(Inngang!B8="","",SUM(Inngang!B$5:B8))</f>
        <v/>
      </c>
      <c r="C12" s="19">
        <f>IF(Inngang!D8="","",Innstillinger!B$5*Inngang!D8)</f>
        <v/>
      </c>
      <c r="D12" s="19">
        <f>IF(Inngang!C8="","",SUM(Inngang!C$5:C8))</f>
        <v/>
      </c>
      <c r="E12" s="20">
        <f>IFERROR(C12/D12,"")</f>
        <v/>
      </c>
      <c r="F12" s="20">
        <f>IFERROR(C12/B12,"")</f>
        <v/>
      </c>
      <c r="G12" s="19">
        <f>IFERROR(Innstillinger!B$5/E12,"")</f>
        <v/>
      </c>
      <c r="H12" s="19">
        <f>IFERROR(Innstillinger!B$5-G12,"")</f>
        <v/>
      </c>
      <c r="I12" s="18">
        <f>IF(E12="","Ikke startet",IF(AND(E12&gt;=1,F12&gt;=1),"På plan",IF(OR(E12&lt;0.9,F12&lt;0.9),"Kritisk avvik","Mindre avvik")))</f>
        <v/>
      </c>
    </row>
    <row r="13">
      <c r="A13" s="18">
        <f>Inngang!A9</f>
        <v/>
      </c>
      <c r="B13" s="19">
        <f>IF(Inngang!B9="","",SUM(Inngang!B$5:B9))</f>
        <v/>
      </c>
      <c r="C13" s="19">
        <f>IF(Inngang!D9="","",Innstillinger!B$5*Inngang!D9)</f>
        <v/>
      </c>
      <c r="D13" s="19">
        <f>IF(Inngang!C9="","",SUM(Inngang!C$5:C9))</f>
        <v/>
      </c>
      <c r="E13" s="20">
        <f>IFERROR(C13/D13,"")</f>
        <v/>
      </c>
      <c r="F13" s="20">
        <f>IFERROR(C13/B13,"")</f>
        <v/>
      </c>
      <c r="G13" s="19">
        <f>IFERROR(Innstillinger!B$5/E13,"")</f>
        <v/>
      </c>
      <c r="H13" s="19">
        <f>IFERROR(Innstillinger!B$5-G13,"")</f>
        <v/>
      </c>
      <c r="I13" s="18">
        <f>IF(E13="","Ikke startet",IF(AND(E13&gt;=1,F13&gt;=1),"På plan",IF(OR(E13&lt;0.9,F13&lt;0.9),"Kritisk avvik","Mindre avvik")))</f>
        <v/>
      </c>
    </row>
    <row r="14">
      <c r="A14" s="18">
        <f>Inngang!A10</f>
        <v/>
      </c>
      <c r="B14" s="19">
        <f>IF(Inngang!B10="","",SUM(Inngang!B$5:B10))</f>
        <v/>
      </c>
      <c r="C14" s="19">
        <f>IF(Inngang!D10="","",Innstillinger!B$5*Inngang!D10)</f>
        <v/>
      </c>
      <c r="D14" s="19">
        <f>IF(Inngang!C10="","",SUM(Inngang!C$5:C10))</f>
        <v/>
      </c>
      <c r="E14" s="20">
        <f>IFERROR(C14/D14,"")</f>
        <v/>
      </c>
      <c r="F14" s="20">
        <f>IFERROR(C14/B14,"")</f>
        <v/>
      </c>
      <c r="G14" s="19">
        <f>IFERROR(Innstillinger!B$5/E14,"")</f>
        <v/>
      </c>
      <c r="H14" s="19">
        <f>IFERROR(Innstillinger!B$5-G14,"")</f>
        <v/>
      </c>
      <c r="I14" s="18">
        <f>IF(E14="","Ikke startet",IF(AND(E14&gt;=1,F14&gt;=1),"På plan",IF(OR(E14&lt;0.9,F14&lt;0.9),"Kritisk avvik","Mindre avvik")))</f>
        <v/>
      </c>
    </row>
    <row r="15">
      <c r="A15" s="18">
        <f>Inngang!A11</f>
        <v/>
      </c>
      <c r="B15" s="19">
        <f>IF(Inngang!B11="","",SUM(Inngang!B$5:B11))</f>
        <v/>
      </c>
      <c r="C15" s="19">
        <f>IF(Inngang!D11="","",Innstillinger!B$5*Inngang!D11)</f>
        <v/>
      </c>
      <c r="D15" s="19">
        <f>IF(Inngang!C11="","",SUM(Inngang!C$5:C11))</f>
        <v/>
      </c>
      <c r="E15" s="20">
        <f>IFERROR(C15/D15,"")</f>
        <v/>
      </c>
      <c r="F15" s="20">
        <f>IFERROR(C15/B15,"")</f>
        <v/>
      </c>
      <c r="G15" s="19">
        <f>IFERROR(Innstillinger!B$5/E15,"")</f>
        <v/>
      </c>
      <c r="H15" s="19">
        <f>IFERROR(Innstillinger!B$5-G15,"")</f>
        <v/>
      </c>
      <c r="I15" s="18">
        <f>IF(E15="","Ikke startet",IF(AND(E15&gt;=1,F15&gt;=1),"På plan",IF(OR(E15&lt;0.9,F15&lt;0.9),"Kritisk avvik","Mindre avvik")))</f>
        <v/>
      </c>
    </row>
    <row r="16">
      <c r="A16" s="18">
        <f>Inngang!A12</f>
        <v/>
      </c>
      <c r="B16" s="19">
        <f>IF(Inngang!B12="","",SUM(Inngang!B$5:B12))</f>
        <v/>
      </c>
      <c r="C16" s="19">
        <f>IF(Inngang!D12="","",Innstillinger!B$5*Inngang!D12)</f>
        <v/>
      </c>
      <c r="D16" s="19">
        <f>IF(Inngang!C12="","",SUM(Inngang!C$5:C12))</f>
        <v/>
      </c>
      <c r="E16" s="20">
        <f>IFERROR(C16/D16,"")</f>
        <v/>
      </c>
      <c r="F16" s="20">
        <f>IFERROR(C16/B16,"")</f>
        <v/>
      </c>
      <c r="G16" s="19">
        <f>IFERROR(Innstillinger!B$5/E16,"")</f>
        <v/>
      </c>
      <c r="H16" s="19">
        <f>IFERROR(Innstillinger!B$5-G16,"")</f>
        <v/>
      </c>
      <c r="I16" s="18">
        <f>IF(E16="","Ikke startet",IF(AND(E16&gt;=1,F16&gt;=1),"På plan",IF(OR(E16&lt;0.9,F16&lt;0.9),"Kritisk avvik","Mindre avvik")))</f>
        <v/>
      </c>
    </row>
    <row r="38">
      <c r="A38" s="17" t="inlineStr">
        <is>
          <t>Forklaring av KPI-er</t>
        </is>
      </c>
    </row>
    <row r="39">
      <c r="A39" s="3" t="inlineStr">
        <is>
          <t>PV (Planned Value)</t>
        </is>
      </c>
      <c r="B39" s="21" t="inlineStr">
        <is>
          <t>Hvor mye arbeid var planlagt utført pr dato (i kr — basert på baseline).</t>
        </is>
      </c>
    </row>
    <row r="40">
      <c r="A40" s="3" t="inlineStr">
        <is>
          <t>EV (Earned Value)</t>
        </is>
      </c>
      <c r="B40" s="21" t="inlineStr">
        <is>
          <t>Hvor mye arbeid faktisk er utført, målt i planverdi (BAC × % complete).</t>
        </is>
      </c>
    </row>
    <row r="41">
      <c r="A41" s="3" t="inlineStr">
        <is>
          <t>AC (Actual Cost)</t>
        </is>
      </c>
      <c r="B41" s="21" t="inlineStr">
        <is>
          <t>Hvor mye prosjektet har kostet til nå.</t>
        </is>
      </c>
    </row>
    <row r="42">
      <c r="A42" s="3" t="inlineStr">
        <is>
          <t>CPI = EV/AC</t>
        </is>
      </c>
      <c r="B42" s="21" t="inlineStr">
        <is>
          <t>Kostnadsindeks. &gt;1 = under budsjett. &lt;1 = over budsjett.</t>
        </is>
      </c>
    </row>
    <row r="43">
      <c r="A43" s="3" t="inlineStr">
        <is>
          <t>SPI = EV/PV</t>
        </is>
      </c>
      <c r="B43" s="21" t="inlineStr">
        <is>
          <t>Tidsindeks. &gt;1 = foran skjema. &lt;1 = bak skjema.</t>
        </is>
      </c>
    </row>
    <row r="44">
      <c r="A44" s="3" t="inlineStr">
        <is>
          <t>EAC = BAC/CPI</t>
        </is>
      </c>
      <c r="B44" s="21" t="inlineStr">
        <is>
          <t>Estimat ved ferdigstillelse — hva prosjektet vil koste totalt hvis nåværende CPI holder.</t>
        </is>
      </c>
    </row>
    <row r="45">
      <c r="A45" s="3" t="inlineStr">
        <is>
          <t>VAC = BAC - EAC</t>
        </is>
      </c>
      <c r="B45" s="21" t="inlineStr">
        <is>
          <t>Variance at completion — forventet over-/underforbruk ved ferdigstillelse.</t>
        </is>
      </c>
    </row>
  </sheetData>
  <mergeCells count="9">
    <mergeCell ref="A7:I7"/>
    <mergeCell ref="B44:I44"/>
    <mergeCell ref="B39:I39"/>
    <mergeCell ref="A1:I1"/>
    <mergeCell ref="B42:I42"/>
    <mergeCell ref="B45:I45"/>
    <mergeCell ref="B43:I43"/>
    <mergeCell ref="B41:I41"/>
    <mergeCell ref="B40:I4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2" t="inlineStr">
        <is>
          <t>Bruksanvisning — EVM-arbeidsbok</t>
        </is>
      </c>
    </row>
    <row r="2">
      <c r="A2" t="inlineStr"/>
    </row>
    <row r="3">
      <c r="A3" t="inlineStr">
        <is>
          <t>FORMÅL:</t>
        </is>
      </c>
    </row>
    <row r="4">
      <c r="A4" t="inlineStr">
        <is>
          <t>Denne arbeidsboken gjør det mulig å rapportere KPI-er og S-kurve i månedsrapportene</t>
        </is>
      </c>
    </row>
    <row r="5">
      <c r="A5" t="inlineStr">
        <is>
          <t>(LOG565 fase 3) basert på Bårds returnerte estimater + faktisk fremdrift fra MS Project.</t>
        </is>
      </c>
    </row>
    <row r="6">
      <c r="A6" t="inlineStr"/>
    </row>
    <row r="7">
      <c r="A7" t="inlineStr">
        <is>
          <t>KOM I GANG:</t>
        </is>
      </c>
    </row>
    <row r="8">
      <c r="A8" t="inlineStr">
        <is>
          <t>1. Åpne 'Innstillinger' og oppdater BAC til Bårds totalbudsjett etter crashing.</t>
        </is>
      </c>
    </row>
    <row r="9">
      <c r="A9" t="inlineStr">
        <is>
          <t>2. Åpne 'Inngang' og bytt sample-tall mot riktige PV-verdier per måned.</t>
        </is>
      </c>
    </row>
    <row r="10">
      <c r="A10" t="inlineStr">
        <is>
          <t xml:space="preserve">   (PV per måned = planlagt fakturering eller verdiskaping basert på Baseline 1 i MS Project.)</t>
        </is>
      </c>
    </row>
    <row r="11">
      <c r="A11" t="inlineStr">
        <is>
          <t>3. For hver rapporteringsperiode i fase 3:</t>
        </is>
      </c>
    </row>
    <row r="12">
      <c r="A12" t="inlineStr">
        <is>
          <t xml:space="preserve">   • Skriv inn AC faktisk (hva prosjektet faktisk har brukt så langt den måneden)</t>
        </is>
      </c>
    </row>
    <row r="13">
      <c r="A13" t="inlineStr">
        <is>
          <t xml:space="preserve">   • Skriv inn % complete kum. (totalt utført arbeid målt i % av BAC)</t>
        </is>
      </c>
    </row>
    <row r="14">
      <c r="A14" t="inlineStr">
        <is>
          <t>4. Dashboard-arket beregner alt automatisk og oppdaterer S-kurven.</t>
        </is>
      </c>
    </row>
    <row r="15">
      <c r="A15" t="inlineStr"/>
    </row>
    <row r="16">
      <c r="A16" t="inlineStr">
        <is>
          <t>FARGEKODER:</t>
        </is>
      </c>
    </row>
    <row r="17">
      <c r="A17" t="inlineStr">
        <is>
          <t xml:space="preserve">  GUL  = manuell input (det DU fyller inn)</t>
        </is>
      </c>
    </row>
    <row r="18">
      <c r="A18" t="inlineStr">
        <is>
          <t xml:space="preserve">  GRØNN = beregnet (rør IKKE)</t>
        </is>
      </c>
    </row>
    <row r="19">
      <c r="A19" t="inlineStr">
        <is>
          <t xml:space="preserve">  BLÅ = sammendrag/header</t>
        </is>
      </c>
    </row>
    <row r="20">
      <c r="A20" t="inlineStr"/>
    </row>
    <row r="21">
      <c r="A21" t="inlineStr">
        <is>
          <t>BRUK I MÅNEDSRAPPORT:</t>
        </is>
      </c>
    </row>
    <row r="22">
      <c r="A22" t="inlineStr">
        <is>
          <t xml:space="preserve">  • Kopier KPI-strip (rad 4–5 i Dashboard) → tabell 3 i månedsrapport-malen</t>
        </is>
      </c>
    </row>
    <row r="23">
      <c r="A23" t="inlineStr">
        <is>
          <t xml:space="preserve">  • Kopier hovedtabell (rad 8–16 i Dashboard) → tabell 8 (S-kurve-data) i månedsrapport-malen</t>
        </is>
      </c>
    </row>
    <row r="24">
      <c r="A24" t="inlineStr">
        <is>
          <t xml:space="preserve">  • Eksporter S-kurve-diagrammet som bilde → lim inn på 'Figur 2'-plass i månedsrapporten</t>
        </is>
      </c>
    </row>
    <row r="25">
      <c r="A25" t="inlineStr"/>
    </row>
    <row r="26">
      <c r="A26" t="inlineStr">
        <is>
          <t>MERK:</t>
        </is>
      </c>
    </row>
    <row r="27">
      <c r="A27" t="inlineStr">
        <is>
          <t xml:space="preserve">  Sample-data viser et 8-måneders prosjekt jan–aug 2026 med BAC = 100 mill kr.</t>
        </is>
      </c>
    </row>
    <row r="28">
      <c r="A28" t="inlineStr">
        <is>
          <t xml:space="preserve">  Reelle tall vil være større (Bård spesifiserer). Justér antall måneder ved å</t>
        </is>
      </c>
    </row>
    <row r="29">
      <c r="A29" t="inlineStr">
        <is>
          <t xml:space="preserve">  utvide kolonnene i 'Inngang' og 'Dashboard' tilsvarende.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2026-05-05T18:35:04Z</dcterms:created>
  <dcterms:modified xmlns:dcterms="http://purl.org/dc/terms/" xmlns:xsi="http://www.w3.org/2001/XMLSchema-instance" xsi:type="dcterms:W3CDTF">2026-05-05T18:35:04Z</dcterms:modified>
</cp:coreProperties>
</file>