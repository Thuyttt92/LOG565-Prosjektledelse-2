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stillinger" sheetId="1" state="visible" r:id="rId1"/>
    <sheet xmlns:r="http://schemas.openxmlformats.org/officeDocument/2006/relationships" name="Inngan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isks_Log" sheetId="4" state="visible" r:id="rId4"/>
    <sheet xmlns:r="http://schemas.openxmlformats.org/officeDocument/2006/relationships" name="S_Curve_Data" sheetId="5" state="visible" r:id="rId5"/>
    <sheet xmlns:r="http://schemas.openxmlformats.org/officeDocument/2006/relationships" name="Bruksanvis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b val="1"/>
    </font>
    <font>
      <i val="1"/>
      <color rgb="00666666"/>
    </font>
    <font>
      <b val="1"/>
      <sz val="11"/>
    </font>
    <font>
      <b val="1"/>
      <color rgb="001F4E78"/>
      <sz val="14"/>
    </font>
    <font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3" borderId="0" pivotButton="0" quotePrefix="0" xfId="0"/>
    <xf numFmtId="1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3" fontId="0" fillId="3" borderId="1" pivotButton="0" quotePrefix="0" xfId="0"/>
    <xf numFmtId="164" fontId="0" fillId="3" borderId="1" pivotButton="0" quotePrefix="0" xfId="0"/>
    <xf numFmtId="3" fontId="3" fillId="4" borderId="0" pivotButton="0" quotePrefix="0" xfId="0"/>
    <xf numFmtId="0" fontId="5" fillId="0" borderId="0" pivotButton="0" quotePrefix="0" xfId="0"/>
    <xf numFmtId="165" fontId="0" fillId="3" borderId="1" pivotButton="0" quotePrefix="0" xfId="0"/>
    <xf numFmtId="0" fontId="0" fillId="5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6" fontId="0" fillId="0" borderId="1" pivotButton="0" quotePrefix="0" xfId="0"/>
    <xf numFmtId="0" fontId="3" fillId="4" borderId="0" pivotButton="0" quotePrefix="0" xfId="0"/>
    <xf numFmtId="166" fontId="3" fillId="4" borderId="0" pivotButton="0" quotePrefix="0" xfId="0"/>
    <xf numFmtId="3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6" fontId="0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0" customWidth="1" min="3" max="3"/>
  </cols>
  <sheetData>
    <row r="1">
      <c r="A1" s="1" t="inlineStr">
        <is>
          <t>EVM-arbeidsbok — Nye Hædda Barneskole</t>
        </is>
      </c>
    </row>
    <row r="3">
      <c r="A3" s="2" t="inlineStr">
        <is>
          <t>Parameter</t>
        </is>
      </c>
      <c r="B3" s="2" t="inlineStr">
        <is>
          <t>Verdi</t>
        </is>
      </c>
      <c r="C3" s="2" t="inlineStr">
        <is>
          <t>Kommentar</t>
        </is>
      </c>
    </row>
    <row r="4">
      <c r="A4" s="3" t="inlineStr">
        <is>
          <t>Prosjektnavn</t>
        </is>
      </c>
      <c r="B4" s="4" t="inlineStr">
        <is>
          <t>Nye Hædda Barneskole</t>
        </is>
      </c>
      <c r="C4" t="inlineStr">
        <is>
          <t>Fast</t>
        </is>
      </c>
    </row>
    <row r="5">
      <c r="A5" s="3" t="inlineStr">
        <is>
          <t>Prosjektleder (gruppe)</t>
        </is>
      </c>
      <c r="B5" s="4" t="inlineStr">
        <is>
          <t>irgesundinger</t>
        </is>
      </c>
      <c r="C5" t="inlineStr">
        <is>
          <t>Gruppe 4.5</t>
        </is>
      </c>
    </row>
    <row r="6">
      <c r="A6" s="3" t="inlineStr">
        <is>
          <t>Saksnummer (kommunestyret)</t>
        </is>
      </c>
      <c r="B6" s="4" t="inlineStr">
        <is>
          <t>NHB-IRGESUND</t>
        </is>
      </c>
      <c r="C6" t="inlineStr">
        <is>
          <t>Crashing + rammeutvidelse</t>
        </is>
      </c>
    </row>
    <row r="7">
      <c r="A7" s="3" t="inlineStr">
        <is>
          <t>BAC (Budget at Completion)</t>
        </is>
      </c>
      <c r="B7" s="4" t="n">
        <v>800000000</v>
      </c>
      <c r="C7">
        <f> 800 MNOK — Baseline 1 etter crashing av 4.1 Råbygg</f>
        <v/>
      </c>
    </row>
    <row r="8">
      <c r="A8" s="3" t="inlineStr">
        <is>
          <t>Godkjent risikoreserve</t>
        </is>
      </c>
      <c r="B8" s="4" t="n">
        <v>50000000</v>
      </c>
      <c r="C8">
        <f> 50 MNOK (separat fra BAC)</f>
        <v/>
      </c>
    </row>
    <row r="9">
      <c r="A9" s="3" t="inlineStr">
        <is>
          <t>Godkjent tidsbuffer</t>
        </is>
      </c>
      <c r="B9" s="5" t="n">
        <v>8</v>
      </c>
      <c r="C9" t="inlineStr">
        <is>
          <t>Uker ut over sluttdato før forsinkelse er reell</t>
        </is>
      </c>
    </row>
    <row r="10">
      <c r="A10" s="3" t="inlineStr">
        <is>
          <t>Prosjektstart</t>
        </is>
      </c>
      <c r="B10" s="4" t="inlineStr">
        <is>
          <t>01.02.2025</t>
        </is>
      </c>
      <c r="C10" t="inlineStr">
        <is>
          <t>Fra Baseline 1 (MS Project)</t>
        </is>
      </c>
    </row>
    <row r="11">
      <c r="A11" s="3" t="inlineStr">
        <is>
          <t>Prosjektslutt (vedtatt)</t>
        </is>
      </c>
      <c r="B11" s="4" t="inlineStr">
        <is>
          <t>15.05.2026</t>
        </is>
      </c>
      <c r="C11" t="inlineStr">
        <is>
          <t>Fra Baseline 1 (MS Project)</t>
        </is>
      </c>
    </row>
    <row r="12">
      <c r="A12" s="3" t="inlineStr">
        <is>
          <t>Antall måneder (gjennomføring)</t>
        </is>
      </c>
      <c r="B12" s="4" t="n">
        <v>16</v>
      </c>
      <c r="C12" t="inlineStr">
        <is>
          <t>Feb 2025 → Mai 2026</t>
        </is>
      </c>
    </row>
    <row r="13">
      <c r="A13" s="3" t="inlineStr">
        <is>
          <t>Antall arbeidspakker (leaves)</t>
        </is>
      </c>
      <c r="B13" s="4" t="n">
        <v>32</v>
      </c>
      <c r="C13" t="inlineStr">
        <is>
          <t>32 leaves i 4-nivå WBS</t>
        </is>
      </c>
    </row>
    <row r="14">
      <c r="A14" s="3" t="inlineStr">
        <is>
          <t>Valuta</t>
        </is>
      </c>
      <c r="B14" s="4" t="inlineStr">
        <is>
          <t>NOK (kr)</t>
        </is>
      </c>
      <c r="C14" t="inlineStr">
        <is>
          <t>Alle beløp vises i kr</t>
        </is>
      </c>
    </row>
    <row r="15">
      <c r="A15" s="3" t="inlineStr">
        <is>
          <t>Versjon</t>
        </is>
      </c>
      <c r="B15" s="4" t="inlineStr">
        <is>
          <t>1.0 — sluttall etter mnd 16</t>
        </is>
      </c>
      <c r="C15" t="inlineStr">
        <is>
          <t>Generert fra master_data.py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6" customWidth="1" min="5" max="5"/>
    <col width="28" customWidth="1" min="6" max="6"/>
  </cols>
  <sheetData>
    <row r="1">
      <c r="A1" s="1" t="inlineStr">
        <is>
          <t>Månedlig EVM-inngang — PV planlagt, AC faktisk, % complete</t>
        </is>
      </c>
    </row>
    <row r="2">
      <c r="A2" s="6" t="inlineStr">
        <is>
          <t>GRØNN = avledet fra master_data.py (referater + Baseline 1). Endre i master_data.py, ikke her direkte.</t>
        </is>
      </c>
    </row>
    <row r="4">
      <c r="A4" s="2" t="inlineStr">
        <is>
          <t>Måned (nr)</t>
        </is>
      </c>
      <c r="B4" s="2" t="inlineStr">
        <is>
          <t>Periode</t>
        </is>
      </c>
      <c r="C4" s="2" t="inlineStr">
        <is>
          <t>PV planlagt (kr)</t>
        </is>
      </c>
      <c r="D4" s="2" t="inlineStr">
        <is>
          <t>AC faktisk (kr)</t>
        </is>
      </c>
      <c r="E4" s="2" t="inlineStr">
        <is>
          <t>% complete kum.</t>
        </is>
      </c>
      <c r="F4" s="2" t="inlineStr">
        <is>
          <t>Risikoreserve brukt kum. (kr)</t>
        </is>
      </c>
    </row>
    <row r="5">
      <c r="A5" s="7" t="n">
        <v>1</v>
      </c>
      <c r="B5" t="inlineStr">
        <is>
          <t>Februar 2025</t>
        </is>
      </c>
      <c r="C5" s="8" t="n">
        <v>20825000</v>
      </c>
      <c r="D5" s="8" t="n">
        <v>24200000</v>
      </c>
      <c r="E5" s="9" t="n">
        <v>0.0306125</v>
      </c>
      <c r="F5" s="8" t="n">
        <v>0</v>
      </c>
    </row>
    <row r="6">
      <c r="A6" s="7" t="n">
        <v>2</v>
      </c>
      <c r="B6" t="inlineStr">
        <is>
          <t>Mars 2025</t>
        </is>
      </c>
      <c r="C6" s="8" t="n">
        <v>20825000</v>
      </c>
      <c r="D6" s="8" t="n">
        <v>52100000</v>
      </c>
      <c r="E6" s="9" t="n">
        <v>0.06526249999999999</v>
      </c>
      <c r="F6" s="8" t="n">
        <v>0</v>
      </c>
    </row>
    <row r="7">
      <c r="A7" s="7" t="n">
        <v>3</v>
      </c>
      <c r="B7" t="inlineStr">
        <is>
          <t>April 2025</t>
        </is>
      </c>
      <c r="C7" s="8" t="n">
        <v>20825000</v>
      </c>
      <c r="D7" s="8" t="n">
        <v>73400000</v>
      </c>
      <c r="E7" s="9" t="n">
        <v>0.091975</v>
      </c>
      <c r="F7" s="8" t="n">
        <v>0</v>
      </c>
    </row>
    <row r="8">
      <c r="A8" s="7" t="n">
        <v>4</v>
      </c>
      <c r="B8" t="inlineStr">
        <is>
          <t>Mai 2025</t>
        </is>
      </c>
      <c r="C8" s="8" t="n">
        <v>35158333.33333332</v>
      </c>
      <c r="D8" s="8" t="n">
        <v>96600000</v>
      </c>
      <c r="E8" s="9" t="n">
        <v>0.120675</v>
      </c>
      <c r="F8" s="8" t="n">
        <v>6000000</v>
      </c>
    </row>
    <row r="9">
      <c r="A9" s="7" t="n">
        <v>5</v>
      </c>
      <c r="B9" t="inlineStr">
        <is>
          <t>Juni 2025</t>
        </is>
      </c>
      <c r="C9" s="8" t="n">
        <v>23991666.66666666</v>
      </c>
      <c r="D9" s="8" t="n">
        <v>120100000</v>
      </c>
      <c r="E9" s="9" t="n">
        <v>0.150275</v>
      </c>
      <c r="F9" s="8" t="n">
        <v>6000000</v>
      </c>
    </row>
    <row r="10">
      <c r="A10" s="7" t="n">
        <v>6</v>
      </c>
      <c r="B10" t="inlineStr">
        <is>
          <t>Juli 2025</t>
        </is>
      </c>
      <c r="C10" s="8" t="n">
        <v>14991666.66666669</v>
      </c>
      <c r="D10" s="8" t="n">
        <v>149400000</v>
      </c>
      <c r="E10" s="9" t="n">
        <v>0.186925</v>
      </c>
      <c r="F10" s="8" t="n">
        <v>6000000</v>
      </c>
    </row>
    <row r="11">
      <c r="A11" s="7" t="n">
        <v>7</v>
      </c>
      <c r="B11" t="inlineStr">
        <is>
          <t>August 2025</t>
        </is>
      </c>
      <c r="C11" s="8" t="n">
        <v>77491666.66666667</v>
      </c>
      <c r="D11" s="8" t="n">
        <v>216100000</v>
      </c>
      <c r="E11" s="9" t="n">
        <v>0.271025</v>
      </c>
      <c r="F11" s="8" t="n">
        <v>6000000</v>
      </c>
    </row>
    <row r="12">
      <c r="A12" s="7" t="n">
        <v>8</v>
      </c>
      <c r="B12" t="inlineStr">
        <is>
          <t>September 2025</t>
        </is>
      </c>
      <c r="C12" s="8" t="n">
        <v>60158333.33333331</v>
      </c>
      <c r="D12" s="8" t="n">
        <v>273600000</v>
      </c>
      <c r="E12" s="9" t="n">
        <v>0.3405625</v>
      </c>
      <c r="F12" s="8" t="n">
        <v>6000000</v>
      </c>
    </row>
    <row r="13">
      <c r="A13" s="7" t="n">
        <v>9</v>
      </c>
      <c r="B13" t="inlineStr">
        <is>
          <t>Oktober 2025</t>
        </is>
      </c>
      <c r="C13" s="8" t="n">
        <v>49658333.33333336</v>
      </c>
      <c r="D13" s="8" t="n">
        <v>324300000</v>
      </c>
      <c r="E13" s="9" t="n">
        <v>0.4058375</v>
      </c>
      <c r="F13" s="8" t="n">
        <v>6000000</v>
      </c>
    </row>
    <row r="14">
      <c r="A14" s="7" t="n">
        <v>10</v>
      </c>
      <c r="B14" t="inlineStr">
        <is>
          <t>November 2025</t>
        </is>
      </c>
      <c r="C14" s="8" t="n">
        <v>49658333.33333331</v>
      </c>
      <c r="D14" s="8" t="n">
        <v>373400000</v>
      </c>
      <c r="E14" s="9" t="n">
        <v>0.46785</v>
      </c>
      <c r="F14" s="8" t="n">
        <v>6000000</v>
      </c>
    </row>
    <row r="15">
      <c r="A15" s="7" t="n">
        <v>11</v>
      </c>
      <c r="B15" t="inlineStr">
        <is>
          <t>Desember 2025</t>
        </is>
      </c>
      <c r="C15" s="8" t="n">
        <v>49658333.33333336</v>
      </c>
      <c r="D15" s="8" t="n">
        <v>424100000</v>
      </c>
      <c r="E15" s="9" t="n">
        <v>0.530175</v>
      </c>
      <c r="F15" s="8" t="n">
        <v>6000000</v>
      </c>
    </row>
    <row r="16">
      <c r="A16" s="7" t="n">
        <v>12</v>
      </c>
      <c r="B16" t="inlineStr">
        <is>
          <t>Januar 2026</t>
        </is>
      </c>
      <c r="C16" s="8" t="n">
        <v>94158333.33333342</v>
      </c>
      <c r="D16" s="8" t="n">
        <v>543300000</v>
      </c>
      <c r="E16" s="9" t="n">
        <v>0.6762104166666668</v>
      </c>
      <c r="F16" s="8" t="n">
        <v>6000000</v>
      </c>
    </row>
    <row r="17">
      <c r="A17" s="7" t="n">
        <v>13</v>
      </c>
      <c r="B17" t="inlineStr">
        <is>
          <t>Februar 2026</t>
        </is>
      </c>
      <c r="C17" s="8" t="n">
        <v>94158333.33333319</v>
      </c>
      <c r="D17" s="8" t="n">
        <v>638400000</v>
      </c>
      <c r="E17" s="9" t="n">
        <v>0.7980708333333334</v>
      </c>
      <c r="F17" s="8" t="n">
        <v>11000000</v>
      </c>
    </row>
    <row r="18">
      <c r="A18" s="7" t="n">
        <v>14</v>
      </c>
      <c r="B18" t="inlineStr">
        <is>
          <t>Mars 2026</t>
        </is>
      </c>
      <c r="C18" s="8" t="n">
        <v>96658333.33333342</v>
      </c>
      <c r="D18" s="8" t="n">
        <v>763000000</v>
      </c>
      <c r="E18" s="9" t="n">
        <v>0.95326875</v>
      </c>
      <c r="F18" s="8" t="n">
        <v>11000000</v>
      </c>
    </row>
    <row r="19">
      <c r="A19" s="7" t="n">
        <v>15</v>
      </c>
      <c r="B19" t="inlineStr">
        <is>
          <t>April 2026</t>
        </is>
      </c>
      <c r="C19" s="8" t="n">
        <v>77658333.3333333</v>
      </c>
      <c r="D19" s="8" t="n">
        <v>791800000</v>
      </c>
      <c r="E19" s="9" t="n">
        <v>0.9896125000000001</v>
      </c>
      <c r="F19" s="8" t="n">
        <v>11000000</v>
      </c>
    </row>
    <row r="20">
      <c r="A20" s="7" t="n">
        <v>16</v>
      </c>
      <c r="B20" t="inlineStr">
        <is>
          <t>Mai 2026</t>
        </is>
      </c>
      <c r="C20" s="8" t="n">
        <v>14125000</v>
      </c>
      <c r="D20" s="8" t="n">
        <v>800000000</v>
      </c>
      <c r="E20" s="9" t="n">
        <v>1</v>
      </c>
      <c r="F20" s="8" t="n">
        <v>11000000</v>
      </c>
    </row>
    <row r="21">
      <c r="A21" s="3" t="inlineStr">
        <is>
          <t>SUM</t>
        </is>
      </c>
      <c r="B21" t="inlineStr">
        <is>
          <t>(PV → BAC, AC → faktisk total)</t>
        </is>
      </c>
      <c r="C21" s="10">
        <f>SUM(C5:C20)</f>
        <v/>
      </c>
      <c r="D21" s="10">
        <f>MAX(D5:D20)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Dashboard — EVM-KPI-er og S-kurve</t>
        </is>
      </c>
    </row>
    <row r="3">
      <c r="A3" s="11" t="inlineStr">
        <is>
          <t>KPI-sammendrag (sluttall mnd 16):</t>
        </is>
      </c>
    </row>
    <row r="4">
      <c r="A4" s="2" t="n"/>
      <c r="B4" s="2" t="inlineStr">
        <is>
          <t>BAC</t>
        </is>
      </c>
      <c r="C4" s="2" t="inlineStr">
        <is>
          <t>PV kum</t>
        </is>
      </c>
      <c r="D4" s="2" t="inlineStr">
        <is>
          <t>EV kum</t>
        </is>
      </c>
      <c r="E4" s="2" t="inlineStr">
        <is>
          <t>AC kum</t>
        </is>
      </c>
      <c r="F4" s="2" t="inlineStr">
        <is>
          <t>CPI</t>
        </is>
      </c>
      <c r="G4" s="2" t="inlineStr">
        <is>
          <t>SPI</t>
        </is>
      </c>
      <c r="H4" s="2" t="inlineStr">
        <is>
          <t>EAC</t>
        </is>
      </c>
      <c r="I4" s="2" t="inlineStr">
        <is>
          <t>VAC</t>
        </is>
      </c>
      <c r="J4" s="2" t="inlineStr">
        <is>
          <t>% Complete</t>
        </is>
      </c>
    </row>
    <row r="5">
      <c r="B5" s="8" t="n">
        <v>800000000</v>
      </c>
      <c r="C5" s="8" t="n">
        <v>800000000</v>
      </c>
      <c r="D5" s="8" t="n">
        <v>800000000</v>
      </c>
      <c r="E5" s="8" t="n">
        <v>800000000</v>
      </c>
      <c r="F5" s="12" t="n">
        <v>1</v>
      </c>
      <c r="G5" s="12" t="n">
        <v>1</v>
      </c>
      <c r="H5" s="8" t="n">
        <v>800000000</v>
      </c>
      <c r="I5" s="8" t="n">
        <v>0</v>
      </c>
      <c r="J5" s="9" t="n">
        <v>1</v>
      </c>
    </row>
    <row r="7">
      <c r="A7" s="11" t="inlineStr">
        <is>
          <t>Måned-for-måned EVM</t>
        </is>
      </c>
    </row>
    <row r="8">
      <c r="A8" s="2" t="inlineStr">
        <is>
          <t>Måned</t>
        </is>
      </c>
      <c r="B8" s="2" t="inlineStr">
        <is>
          <t>Periode</t>
        </is>
      </c>
      <c r="C8" s="2" t="inlineStr">
        <is>
          <t>PV kum (kr)</t>
        </is>
      </c>
      <c r="D8" s="2" t="inlineStr">
        <is>
          <t>EV kum (kr)</t>
        </is>
      </c>
      <c r="E8" s="2" t="inlineStr">
        <is>
          <t>AC kum (kr)</t>
        </is>
      </c>
      <c r="F8" s="2" t="inlineStr">
        <is>
          <t>CPI</t>
        </is>
      </c>
      <c r="G8" s="2" t="inlineStr">
        <is>
          <t>SPI</t>
        </is>
      </c>
      <c r="H8" s="2" t="inlineStr">
        <is>
          <t>EAC (kr)</t>
        </is>
      </c>
      <c r="I8" s="2" t="inlineStr">
        <is>
          <t>VAC (kr)</t>
        </is>
      </c>
      <c r="J8" s="2" t="inlineStr">
        <is>
          <t>Status</t>
        </is>
      </c>
    </row>
    <row r="9">
      <c r="A9" s="7" t="n">
        <v>1</v>
      </c>
      <c r="B9" t="inlineStr">
        <is>
          <t>Februar 2025</t>
        </is>
      </c>
      <c r="C9" s="8" t="n">
        <v>20825000</v>
      </c>
      <c r="D9" s="8" t="n">
        <v>24490000</v>
      </c>
      <c r="E9" s="8" t="n">
        <v>24200000</v>
      </c>
      <c r="F9" s="12" t="n">
        <v>1.01198347107438</v>
      </c>
      <c r="G9" s="12" t="n">
        <v>1.175990396158463</v>
      </c>
      <c r="H9" s="8" t="n">
        <v>790526745.6104532</v>
      </c>
      <c r="I9" s="8" t="n">
        <v>9473254.38954681</v>
      </c>
      <c r="J9" s="13" t="inlineStr">
        <is>
          <t>Grønn</t>
        </is>
      </c>
    </row>
    <row r="10">
      <c r="A10" s="7" t="n">
        <v>2</v>
      </c>
      <c r="B10" t="inlineStr">
        <is>
          <t>Mars 2025</t>
        </is>
      </c>
      <c r="C10" s="8" t="n">
        <v>41650000</v>
      </c>
      <c r="D10" s="8" t="n">
        <v>52209999.99999999</v>
      </c>
      <c r="E10" s="8" t="n">
        <v>52100000</v>
      </c>
      <c r="F10" s="12" t="n">
        <v>1.002111324376199</v>
      </c>
      <c r="G10" s="12" t="n">
        <v>1.253541416566627</v>
      </c>
      <c r="H10" s="8" t="n">
        <v>798314499.1380962</v>
      </c>
      <c r="I10" s="8" t="n">
        <v>1685500.861903734</v>
      </c>
      <c r="J10" s="13" t="inlineStr">
        <is>
          <t>Grønn</t>
        </is>
      </c>
    </row>
    <row r="11">
      <c r="A11" s="7" t="n">
        <v>3</v>
      </c>
      <c r="B11" t="inlineStr">
        <is>
          <t>April 2025</t>
        </is>
      </c>
      <c r="C11" s="8" t="n">
        <v>62475000</v>
      </c>
      <c r="D11" s="8" t="n">
        <v>73580000</v>
      </c>
      <c r="E11" s="8" t="n">
        <v>73400000</v>
      </c>
      <c r="F11" s="12" t="n">
        <v>1.002452316076294</v>
      </c>
      <c r="G11" s="12" t="n">
        <v>1.177751100440176</v>
      </c>
      <c r="H11" s="8" t="n">
        <v>798042946.4528406</v>
      </c>
      <c r="I11" s="8" t="n">
        <v>1957053.547159489</v>
      </c>
      <c r="J11" s="13" t="inlineStr">
        <is>
          <t>Grønn</t>
        </is>
      </c>
    </row>
    <row r="12">
      <c r="A12" s="7" t="n">
        <v>4</v>
      </c>
      <c r="B12" t="inlineStr">
        <is>
          <t>Mai 2025</t>
        </is>
      </c>
      <c r="C12" s="8" t="n">
        <v>97633333.33333333</v>
      </c>
      <c r="D12" s="8" t="n">
        <v>96539999.99999999</v>
      </c>
      <c r="E12" s="8" t="n">
        <v>96600000</v>
      </c>
      <c r="F12" s="12" t="n">
        <v>0.9993788819875776</v>
      </c>
      <c r="G12" s="12" t="n">
        <v>0.9888016387845681</v>
      </c>
      <c r="H12" s="8" t="n">
        <v>800497203.2318211</v>
      </c>
      <c r="I12" s="8" t="n">
        <v>-497203.231821004</v>
      </c>
      <c r="J12" s="13" t="inlineStr">
        <is>
          <t>Grønn</t>
        </is>
      </c>
    </row>
    <row r="13">
      <c r="A13" s="7" t="n">
        <v>5</v>
      </c>
      <c r="B13" t="inlineStr">
        <is>
          <t>Juni 2025</t>
        </is>
      </c>
      <c r="C13" s="8" t="n">
        <v>121625000</v>
      </c>
      <c r="D13" s="8" t="n">
        <v>120220000</v>
      </c>
      <c r="E13" s="8" t="n">
        <v>120100000</v>
      </c>
      <c r="F13" s="12" t="n">
        <v>1.000999167360533</v>
      </c>
      <c r="G13" s="12" t="n">
        <v>0.9884480986639261</v>
      </c>
      <c r="H13" s="8" t="n">
        <v>799201463.9826983</v>
      </c>
      <c r="I13" s="8" t="n">
        <v>798536.0173016716</v>
      </c>
      <c r="J13" s="13" t="inlineStr">
        <is>
          <t>Grønn</t>
        </is>
      </c>
    </row>
    <row r="14">
      <c r="A14" s="7" t="n">
        <v>6</v>
      </c>
      <c r="B14" t="inlineStr">
        <is>
          <t>Juli 2025</t>
        </is>
      </c>
      <c r="C14" s="8" t="n">
        <v>136616666.6666667</v>
      </c>
      <c r="D14" s="8" t="n">
        <v>149540000</v>
      </c>
      <c r="E14" s="8" t="n">
        <v>149400000</v>
      </c>
      <c r="F14" s="12" t="n">
        <v>1.000937081659973</v>
      </c>
      <c r="G14" s="12" t="n">
        <v>1.094595583750153</v>
      </c>
      <c r="H14" s="8" t="n">
        <v>799251036.5119699</v>
      </c>
      <c r="I14" s="8" t="n">
        <v>748963.4880300855</v>
      </c>
      <c r="J14" s="13" t="inlineStr">
        <is>
          <t>Grønn</t>
        </is>
      </c>
    </row>
    <row r="15">
      <c r="A15" s="7" t="n">
        <v>7</v>
      </c>
      <c r="B15" t="inlineStr">
        <is>
          <t>August 2025</t>
        </is>
      </c>
      <c r="C15" s="8" t="n">
        <v>214108333.3333333</v>
      </c>
      <c r="D15" s="8" t="n">
        <v>216820000</v>
      </c>
      <c r="E15" s="8" t="n">
        <v>216100000</v>
      </c>
      <c r="F15" s="12" t="n">
        <v>1.003331790837575</v>
      </c>
      <c r="G15" s="12" t="n">
        <v>1.012664928190558</v>
      </c>
      <c r="H15" s="8" t="n">
        <v>797343418.5038279</v>
      </c>
      <c r="I15" s="8" t="n">
        <v>2656581.496172066</v>
      </c>
      <c r="J15" s="13" t="inlineStr">
        <is>
          <t>Grønn</t>
        </is>
      </c>
    </row>
    <row r="16">
      <c r="A16" s="7" t="n">
        <v>8</v>
      </c>
      <c r="B16" t="inlineStr">
        <is>
          <t>September 2025</t>
        </is>
      </c>
      <c r="C16" s="8" t="n">
        <v>274266666.6666666</v>
      </c>
      <c r="D16" s="8" t="n">
        <v>272450000</v>
      </c>
      <c r="E16" s="8" t="n">
        <v>273600000</v>
      </c>
      <c r="F16" s="12" t="n">
        <v>0.9957967836257309</v>
      </c>
      <c r="G16" s="12" t="n">
        <v>0.9933762761302868</v>
      </c>
      <c r="H16" s="8" t="n">
        <v>803376766.3791523</v>
      </c>
      <c r="I16" s="8" t="n">
        <v>-3376766.379152286</v>
      </c>
      <c r="J16" s="13" t="inlineStr">
        <is>
          <t>Grønn</t>
        </is>
      </c>
    </row>
    <row r="17">
      <c r="A17" s="7" t="n">
        <v>9</v>
      </c>
      <c r="B17" t="inlineStr">
        <is>
          <t>Oktober 2025</t>
        </is>
      </c>
      <c r="C17" s="8" t="n">
        <v>323925000</v>
      </c>
      <c r="D17" s="8" t="n">
        <v>324670000</v>
      </c>
      <c r="E17" s="8" t="n">
        <v>324300000</v>
      </c>
      <c r="F17" s="12" t="n">
        <v>1.001140918902251</v>
      </c>
      <c r="G17" s="12" t="n">
        <v>1.002299915103805</v>
      </c>
      <c r="H17" s="8" t="n">
        <v>799088305.0482028</v>
      </c>
      <c r="I17" s="8" t="n">
        <v>911694.9517972444</v>
      </c>
      <c r="J17" s="13" t="inlineStr">
        <is>
          <t>Grønn</t>
        </is>
      </c>
    </row>
    <row r="18">
      <c r="A18" s="7" t="n">
        <v>10</v>
      </c>
      <c r="B18" t="inlineStr">
        <is>
          <t>November 2025</t>
        </is>
      </c>
      <c r="C18" s="8" t="n">
        <v>373583333.3333333</v>
      </c>
      <c r="D18" s="8" t="n">
        <v>374280000</v>
      </c>
      <c r="E18" s="8" t="n">
        <v>373400000</v>
      </c>
      <c r="F18" s="12" t="n">
        <v>1.002356722013926</v>
      </c>
      <c r="G18" s="12" t="n">
        <v>1.001864822663395</v>
      </c>
      <c r="H18" s="8" t="n">
        <v>798119055.2527519</v>
      </c>
      <c r="I18" s="8" t="n">
        <v>1880944.747248009</v>
      </c>
      <c r="J18" s="13" t="inlineStr">
        <is>
          <t>Grønn</t>
        </is>
      </c>
    </row>
    <row r="19">
      <c r="A19" s="7" t="n">
        <v>11</v>
      </c>
      <c r="B19" t="inlineStr">
        <is>
          <t>Desember 2025</t>
        </is>
      </c>
      <c r="C19" s="8" t="n">
        <v>423241666.6666667</v>
      </c>
      <c r="D19" s="8" t="n">
        <v>424140000</v>
      </c>
      <c r="E19" s="8" t="n">
        <v>424100000</v>
      </c>
      <c r="F19" s="12" t="n">
        <v>1.000094317377977</v>
      </c>
      <c r="G19" s="12" t="n">
        <v>1.002122506842033</v>
      </c>
      <c r="H19" s="8" t="n">
        <v>799924553.2135615</v>
      </c>
      <c r="I19" s="8" t="n">
        <v>75446.78643841963</v>
      </c>
      <c r="J19" s="13" t="inlineStr">
        <is>
          <t>Grønn</t>
        </is>
      </c>
    </row>
    <row r="20">
      <c r="A20" s="7" t="n">
        <v>12</v>
      </c>
      <c r="B20" t="inlineStr">
        <is>
          <t>Januar 2026</t>
        </is>
      </c>
      <c r="C20" s="8" t="n">
        <v>517400000.0000001</v>
      </c>
      <c r="D20" s="8" t="n">
        <v>540968333.3333335</v>
      </c>
      <c r="E20" s="8" t="n">
        <v>543300000</v>
      </c>
      <c r="F20" s="12" t="n">
        <v>0.9957083256641516</v>
      </c>
      <c r="G20" s="12" t="n">
        <v>1.045551475325345</v>
      </c>
      <c r="H20" s="8" t="n">
        <v>803448137.7529796</v>
      </c>
      <c r="I20" s="8" t="n">
        <v>-3448137.752979619</v>
      </c>
      <c r="J20" s="13" t="inlineStr">
        <is>
          <t>Grønn</t>
        </is>
      </c>
    </row>
    <row r="21">
      <c r="A21" s="7" t="n">
        <v>13</v>
      </c>
      <c r="B21" t="inlineStr">
        <is>
          <t>Februar 2026</t>
        </is>
      </c>
      <c r="C21" s="8" t="n">
        <v>611558333.3333333</v>
      </c>
      <c r="D21" s="8" t="n">
        <v>638456666.6666667</v>
      </c>
      <c r="E21" s="8" t="n">
        <v>638400000</v>
      </c>
      <c r="F21" s="12" t="n">
        <v>1.000088763575606</v>
      </c>
      <c r="G21" s="12" t="n">
        <v>1.043983266791121</v>
      </c>
      <c r="H21" s="8" t="n">
        <v>799928995.4421339</v>
      </c>
      <c r="I21" s="8" t="n">
        <v>71004.55786610383</v>
      </c>
      <c r="J21" s="13" t="inlineStr">
        <is>
          <t>Grønn</t>
        </is>
      </c>
    </row>
    <row r="22">
      <c r="A22" s="7" t="n">
        <v>14</v>
      </c>
      <c r="B22" t="inlineStr">
        <is>
          <t>Mars 2026</t>
        </is>
      </c>
      <c r="C22" s="8" t="n">
        <v>708216666.6666667</v>
      </c>
      <c r="D22" s="8" t="n">
        <v>762615000</v>
      </c>
      <c r="E22" s="8" t="n">
        <v>763000000</v>
      </c>
      <c r="F22" s="12" t="n">
        <v>0.9994954128440368</v>
      </c>
      <c r="G22" s="12" t="n">
        <v>1.076810298166757</v>
      </c>
      <c r="H22" s="8" t="n">
        <v>800403873.5141585</v>
      </c>
      <c r="I22" s="8" t="n">
        <v>-403873.5141584766</v>
      </c>
      <c r="J22" s="13" t="inlineStr">
        <is>
          <t>Grønn</t>
        </is>
      </c>
    </row>
    <row r="23">
      <c r="A23" s="7" t="n">
        <v>15</v>
      </c>
      <c r="B23" t="inlineStr">
        <is>
          <t>April 2026</t>
        </is>
      </c>
      <c r="C23" s="8" t="n">
        <v>785875000</v>
      </c>
      <c r="D23" s="8" t="n">
        <v>791690000</v>
      </c>
      <c r="E23" s="8" t="n">
        <v>791800000</v>
      </c>
      <c r="F23" s="12" t="n">
        <v>0.9998610760293004</v>
      </c>
      <c r="G23" s="12" t="n">
        <v>1.007399395578177</v>
      </c>
      <c r="H23" s="8" t="n">
        <v>800111154.6186006</v>
      </c>
      <c r="I23" s="8" t="n">
        <v>-111154.6186006081</v>
      </c>
      <c r="J23" s="13" t="inlineStr">
        <is>
          <t>Grønn</t>
        </is>
      </c>
    </row>
    <row r="24">
      <c r="A24" s="7" t="n">
        <v>16</v>
      </c>
      <c r="B24" t="inlineStr">
        <is>
          <t>Mai 2026</t>
        </is>
      </c>
      <c r="C24" s="8" t="n">
        <v>800000000</v>
      </c>
      <c r="D24" s="8" t="n">
        <v>800000000</v>
      </c>
      <c r="E24" s="8" t="n">
        <v>800000000</v>
      </c>
      <c r="F24" s="12" t="n">
        <v>1</v>
      </c>
      <c r="G24" s="12" t="n">
        <v>1</v>
      </c>
      <c r="H24" s="8" t="n">
        <v>800000000</v>
      </c>
      <c r="I24" s="8" t="n">
        <v>0</v>
      </c>
      <c r="J24" s="13" t="inlineStr">
        <is>
          <t>Grønn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8" customWidth="1" min="4" max="4"/>
    <col width="60" customWidth="1" min="5" max="5"/>
    <col width="16" customWidth="1" min="6" max="6"/>
    <col width="10" customWidth="1" min="7" max="7"/>
    <col width="18" customWidth="1" min="8" max="8"/>
    <col width="60" customWidth="1" min="9" max="9"/>
    <col width="10" customWidth="1" min="10" max="10"/>
    <col width="12" customWidth="1" min="11" max="11"/>
  </cols>
  <sheetData>
    <row r="1">
      <c r="A1" s="1" t="inlineStr">
        <is>
          <t>Risikoregister og hendelsesloggen — fase 3</t>
        </is>
      </c>
    </row>
    <row r="2">
      <c r="A2" s="6" t="inlineStr">
        <is>
          <t>Hendelser som har utløst respons (risikoreserve eller tidsbuffer) registrert mot risikoregisterets ID-er. CR-koblinger noteres i kolonne K.</t>
        </is>
      </c>
    </row>
    <row r="4">
      <c r="A4" s="2" t="inlineStr">
        <is>
          <t>Risiko-ID</t>
        </is>
      </c>
      <c r="B4" s="2" t="inlineStr">
        <is>
          <t>Måned</t>
        </is>
      </c>
      <c r="C4" s="2" t="inlineStr">
        <is>
          <t>Periode</t>
        </is>
      </c>
      <c r="D4" s="2" t="inlineStr">
        <is>
          <t>Pakke</t>
        </is>
      </c>
      <c r="E4" s="2" t="inlineStr">
        <is>
          <t>Hendelse</t>
        </is>
      </c>
      <c r="F4" s="2" t="inlineStr">
        <is>
          <t>Kostnad (kr)</t>
        </is>
      </c>
      <c r="G4" s="2" t="inlineStr">
        <is>
          <t>Tid (uker)</t>
        </is>
      </c>
      <c r="H4" s="2" t="inlineStr">
        <is>
          <t>Tidsbuffer brukt?</t>
        </is>
      </c>
      <c r="I4" s="2" t="inlineStr">
        <is>
          <t>Beslutning</t>
        </is>
      </c>
      <c r="J4" s="2" t="inlineStr">
        <is>
          <t>Status</t>
        </is>
      </c>
      <c r="K4" s="2" t="inlineStr">
        <is>
          <t>CR-kobling</t>
        </is>
      </c>
    </row>
    <row r="5">
      <c r="A5" s="14" t="inlineStr">
        <is>
          <t>R-05</t>
        </is>
      </c>
      <c r="B5" s="15" t="n">
        <v>4</v>
      </c>
      <c r="C5" s="14" t="inlineStr">
        <is>
          <t>Mai 2025</t>
        </is>
      </c>
      <c r="D5" s="14" t="inlineStr">
        <is>
          <t>3.2</t>
        </is>
      </c>
      <c r="E5" s="14" t="inlineStr">
        <is>
          <t>Funn av forurenset masse under 3.2 Riving</t>
        </is>
      </c>
      <c r="F5" s="16" t="n">
        <v>6000000</v>
      </c>
      <c r="G5" s="17" t="n">
        <v>1</v>
      </c>
      <c r="H5" s="14" t="inlineStr">
        <is>
          <t>Nei (absorbert)</t>
        </is>
      </c>
      <c r="I5" s="14" t="inlineStr">
        <is>
          <t>Risikobudsjett-uttrekk på 6,0 MNOK godkjent for miljøsanering og deponi. Forsink…</t>
        </is>
      </c>
      <c r="J5" s="14" t="inlineStr">
        <is>
          <t>Lukket</t>
        </is>
      </c>
      <c r="K5" s="14" t="inlineStr">
        <is>
          <t>—</t>
        </is>
      </c>
    </row>
    <row r="6">
      <c r="A6" s="14" t="inlineStr">
        <is>
          <t>R-07</t>
        </is>
      </c>
      <c r="B6" s="15" t="n">
        <v>11</v>
      </c>
      <c r="C6" s="14" t="inlineStr">
        <is>
          <t>Desember 2025</t>
        </is>
      </c>
      <c r="D6" s="14" t="inlineStr">
        <is>
          <t>4.1</t>
        </is>
      </c>
      <c r="E6" s="14" t="inlineStr">
        <is>
          <t>Brann hos vindusprodusent forsinker 4.1 Råbygg</t>
        </is>
      </c>
      <c r="F6" s="16" t="n">
        <v>0</v>
      </c>
      <c r="G6" s="17" t="n">
        <v>1.5</v>
      </c>
      <c r="H6" s="14" t="inlineStr">
        <is>
          <t>Ja</t>
        </is>
      </c>
      <c r="I6" s="14" t="inlineStr">
        <is>
          <t>Tidsbuffer reduseres med 1,5 uke. Status følges opp ukentlig. Etterfølgende innv…</t>
        </is>
      </c>
      <c r="J6" s="14" t="inlineStr">
        <is>
          <t>Lukket</t>
        </is>
      </c>
      <c r="K6" s="14" t="inlineStr">
        <is>
          <t>—</t>
        </is>
      </c>
    </row>
    <row r="7">
      <c r="A7" s="14" t="inlineStr">
        <is>
          <t>R-06</t>
        </is>
      </c>
      <c r="B7" s="15" t="n">
        <v>13</v>
      </c>
      <c r="C7" s="14" t="inlineStr">
        <is>
          <t>Februar 2026</t>
        </is>
      </c>
      <c r="D7" s="14" t="inlineStr">
        <is>
          <t>5.1</t>
        </is>
      </c>
      <c r="E7" s="14" t="inlineStr">
        <is>
          <t>Regulatorisk endring — DSB-veileder for sprinkler/rømning på 5.1 VVS</t>
        </is>
      </c>
      <c r="F7" s="16" t="n">
        <v>5000000</v>
      </c>
      <c r="G7" s="17" t="n">
        <v>1</v>
      </c>
      <c r="H7" s="14" t="inlineStr">
        <is>
          <t>Nei (absorbert)</t>
        </is>
      </c>
      <c r="I7" s="14" t="inlineStr">
        <is>
          <t>Endringsforespørsel CR-001 godkjent. Scope justert: sprinklerdekning utvidet og …</t>
        </is>
      </c>
      <c r="J7" s="14" t="inlineStr">
        <is>
          <t>Lukket</t>
        </is>
      </c>
      <c r="K7" s="14" t="inlineStr">
        <is>
          <t>CR-001</t>
        </is>
      </c>
    </row>
    <row r="9">
      <c r="A9" s="18" t="inlineStr">
        <is>
          <t>SUM brukt</t>
        </is>
      </c>
      <c r="F9" s="10">
        <f>SUM(F5:F7)</f>
        <v/>
      </c>
      <c r="G9" s="19">
        <f>SUM(G5:G7)</f>
        <v/>
      </c>
    </row>
    <row r="10">
      <c r="A10" s="3" t="inlineStr">
        <is>
          <t>Godkjent</t>
        </is>
      </c>
      <c r="F10" s="20" t="n">
        <v>50000000</v>
      </c>
      <c r="G10" s="21" t="n">
        <v>8</v>
      </c>
    </row>
    <row r="11">
      <c r="A11" s="3" t="inlineStr">
        <is>
          <t>Gjenværende</t>
        </is>
      </c>
      <c r="F11" s="20">
        <f>F10-F9</f>
        <v/>
      </c>
      <c r="G11" s="22">
        <f>G10-G9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S-kurve datatabell — PV/EV/AC kum per måned</t>
        </is>
      </c>
    </row>
    <row r="3">
      <c r="A3" s="2" t="inlineStr">
        <is>
          <t>Måned</t>
        </is>
      </c>
      <c r="B3" s="2" t="inlineStr">
        <is>
          <t>Periode</t>
        </is>
      </c>
      <c r="C3" s="2" t="inlineStr">
        <is>
          <t>PV kum (MNOK)</t>
        </is>
      </c>
      <c r="D3" s="2" t="inlineStr">
        <is>
          <t>EV kum (MNOK)</t>
        </is>
      </c>
      <c r="E3" s="2" t="inlineStr">
        <is>
          <t>AC kum (MNOK)</t>
        </is>
      </c>
      <c r="F3" s="2" t="inlineStr">
        <is>
          <t>CPI</t>
        </is>
      </c>
      <c r="G3" s="2" t="inlineStr">
        <is>
          <t>SPI</t>
        </is>
      </c>
    </row>
    <row r="4">
      <c r="A4" s="7" t="n">
        <v>1</v>
      </c>
      <c r="B4" t="inlineStr">
        <is>
          <t>Februar 2025</t>
        </is>
      </c>
      <c r="C4" s="23" t="n">
        <v>20.825</v>
      </c>
      <c r="D4" s="23" t="n">
        <v>24.49</v>
      </c>
      <c r="E4" s="23" t="n">
        <v>24.2</v>
      </c>
      <c r="F4" s="12" t="n">
        <v>1.01198347107438</v>
      </c>
      <c r="G4" s="12" t="n">
        <v>1.175990396158463</v>
      </c>
    </row>
    <row r="5">
      <c r="A5" s="7" t="n">
        <v>2</v>
      </c>
      <c r="B5" t="inlineStr">
        <is>
          <t>Mars 2025</t>
        </is>
      </c>
      <c r="C5" s="23" t="n">
        <v>41.65</v>
      </c>
      <c r="D5" s="23" t="n">
        <v>52.20999999999999</v>
      </c>
      <c r="E5" s="23" t="n">
        <v>52.1</v>
      </c>
      <c r="F5" s="12" t="n">
        <v>1.002111324376199</v>
      </c>
      <c r="G5" s="12" t="n">
        <v>1.253541416566627</v>
      </c>
    </row>
    <row r="6">
      <c r="A6" s="7" t="n">
        <v>3</v>
      </c>
      <c r="B6" t="inlineStr">
        <is>
          <t>April 2025</t>
        </is>
      </c>
      <c r="C6" s="23" t="n">
        <v>62.475</v>
      </c>
      <c r="D6" s="23" t="n">
        <v>73.58</v>
      </c>
      <c r="E6" s="23" t="n">
        <v>73.40000000000001</v>
      </c>
      <c r="F6" s="12" t="n">
        <v>1.002452316076294</v>
      </c>
      <c r="G6" s="12" t="n">
        <v>1.177751100440176</v>
      </c>
    </row>
    <row r="7">
      <c r="A7" s="7" t="n">
        <v>4</v>
      </c>
      <c r="B7" t="inlineStr">
        <is>
          <t>Mai 2025</t>
        </is>
      </c>
      <c r="C7" s="23" t="n">
        <v>97.63333333333333</v>
      </c>
      <c r="D7" s="23" t="n">
        <v>96.53999999999999</v>
      </c>
      <c r="E7" s="23" t="n">
        <v>96.59999999999999</v>
      </c>
      <c r="F7" s="12" t="n">
        <v>0.9993788819875776</v>
      </c>
      <c r="G7" s="12" t="n">
        <v>0.9888016387845681</v>
      </c>
    </row>
    <row r="8">
      <c r="A8" s="7" t="n">
        <v>5</v>
      </c>
      <c r="B8" t="inlineStr">
        <is>
          <t>Juni 2025</t>
        </is>
      </c>
      <c r="C8" s="23" t="n">
        <v>121.625</v>
      </c>
      <c r="D8" s="23" t="n">
        <v>120.22</v>
      </c>
      <c r="E8" s="23" t="n">
        <v>120.1</v>
      </c>
      <c r="F8" s="12" t="n">
        <v>1.000999167360533</v>
      </c>
      <c r="G8" s="12" t="n">
        <v>0.9884480986639261</v>
      </c>
    </row>
    <row r="9">
      <c r="A9" s="7" t="n">
        <v>6</v>
      </c>
      <c r="B9" t="inlineStr">
        <is>
          <t>Juli 2025</t>
        </is>
      </c>
      <c r="C9" s="23" t="n">
        <v>136.6166666666667</v>
      </c>
      <c r="D9" s="23" t="n">
        <v>149.54</v>
      </c>
      <c r="E9" s="23" t="n">
        <v>149.4</v>
      </c>
      <c r="F9" s="12" t="n">
        <v>1.000937081659973</v>
      </c>
      <c r="G9" s="12" t="n">
        <v>1.094595583750153</v>
      </c>
    </row>
    <row r="10">
      <c r="A10" s="7" t="n">
        <v>7</v>
      </c>
      <c r="B10" t="inlineStr">
        <is>
          <t>August 2025</t>
        </is>
      </c>
      <c r="C10" s="23" t="n">
        <v>214.1083333333333</v>
      </c>
      <c r="D10" s="23" t="n">
        <v>216.82</v>
      </c>
      <c r="E10" s="23" t="n">
        <v>216.1</v>
      </c>
      <c r="F10" s="12" t="n">
        <v>1.003331790837575</v>
      </c>
      <c r="G10" s="12" t="n">
        <v>1.012664928190558</v>
      </c>
    </row>
    <row r="11">
      <c r="A11" s="7" t="n">
        <v>8</v>
      </c>
      <c r="B11" t="inlineStr">
        <is>
          <t>September 2025</t>
        </is>
      </c>
      <c r="C11" s="23" t="n">
        <v>274.2666666666667</v>
      </c>
      <c r="D11" s="23" t="n">
        <v>272.45</v>
      </c>
      <c r="E11" s="23" t="n">
        <v>273.6</v>
      </c>
      <c r="F11" s="12" t="n">
        <v>0.9957967836257309</v>
      </c>
      <c r="G11" s="12" t="n">
        <v>0.9933762761302868</v>
      </c>
    </row>
    <row r="12">
      <c r="A12" s="7" t="n">
        <v>9</v>
      </c>
      <c r="B12" t="inlineStr">
        <is>
          <t>Oktober 2025</t>
        </is>
      </c>
      <c r="C12" s="23" t="n">
        <v>323.925</v>
      </c>
      <c r="D12" s="23" t="n">
        <v>324.67</v>
      </c>
      <c r="E12" s="23" t="n">
        <v>324.3</v>
      </c>
      <c r="F12" s="12" t="n">
        <v>1.001140918902251</v>
      </c>
      <c r="G12" s="12" t="n">
        <v>1.002299915103805</v>
      </c>
    </row>
    <row r="13">
      <c r="A13" s="7" t="n">
        <v>10</v>
      </c>
      <c r="B13" t="inlineStr">
        <is>
          <t>November 2025</t>
        </is>
      </c>
      <c r="C13" s="23" t="n">
        <v>373.5833333333333</v>
      </c>
      <c r="D13" s="23" t="n">
        <v>374.28</v>
      </c>
      <c r="E13" s="23" t="n">
        <v>373.4</v>
      </c>
      <c r="F13" s="12" t="n">
        <v>1.002356722013926</v>
      </c>
      <c r="G13" s="12" t="n">
        <v>1.001864822663395</v>
      </c>
    </row>
    <row r="14">
      <c r="A14" s="7" t="n">
        <v>11</v>
      </c>
      <c r="B14" t="inlineStr">
        <is>
          <t>Desember 2025</t>
        </is>
      </c>
      <c r="C14" s="23" t="n">
        <v>423.2416666666667</v>
      </c>
      <c r="D14" s="23" t="n">
        <v>424.14</v>
      </c>
      <c r="E14" s="23" t="n">
        <v>424.1</v>
      </c>
      <c r="F14" s="12" t="n">
        <v>1.000094317377977</v>
      </c>
      <c r="G14" s="12" t="n">
        <v>1.002122506842033</v>
      </c>
    </row>
    <row r="15">
      <c r="A15" s="7" t="n">
        <v>12</v>
      </c>
      <c r="B15" t="inlineStr">
        <is>
          <t>Januar 2026</t>
        </is>
      </c>
      <c r="C15" s="23" t="n">
        <v>517.4000000000001</v>
      </c>
      <c r="D15" s="23" t="n">
        <v>540.9683333333335</v>
      </c>
      <c r="E15" s="23" t="n">
        <v>543.3</v>
      </c>
      <c r="F15" s="12" t="n">
        <v>0.9957083256641516</v>
      </c>
      <c r="G15" s="12" t="n">
        <v>1.045551475325345</v>
      </c>
    </row>
    <row r="16">
      <c r="A16" s="7" t="n">
        <v>13</v>
      </c>
      <c r="B16" t="inlineStr">
        <is>
          <t>Februar 2026</t>
        </is>
      </c>
      <c r="C16" s="23" t="n">
        <v>611.5583333333333</v>
      </c>
      <c r="D16" s="23" t="n">
        <v>638.4566666666667</v>
      </c>
      <c r="E16" s="23" t="n">
        <v>638.4</v>
      </c>
      <c r="F16" s="12" t="n">
        <v>1.000088763575606</v>
      </c>
      <c r="G16" s="12" t="n">
        <v>1.043983266791121</v>
      </c>
    </row>
    <row r="17">
      <c r="A17" s="7" t="n">
        <v>14</v>
      </c>
      <c r="B17" t="inlineStr">
        <is>
          <t>Mars 2026</t>
        </is>
      </c>
      <c r="C17" s="23" t="n">
        <v>708.2166666666667</v>
      </c>
      <c r="D17" s="23" t="n">
        <v>762.615</v>
      </c>
      <c r="E17" s="23" t="n">
        <v>763</v>
      </c>
      <c r="F17" s="12" t="n">
        <v>0.9994954128440368</v>
      </c>
      <c r="G17" s="12" t="n">
        <v>1.076810298166757</v>
      </c>
    </row>
    <row r="18">
      <c r="A18" s="7" t="n">
        <v>15</v>
      </c>
      <c r="B18" t="inlineStr">
        <is>
          <t>April 2026</t>
        </is>
      </c>
      <c r="C18" s="23" t="n">
        <v>785.875</v>
      </c>
      <c r="D18" s="23" t="n">
        <v>791.6900000000001</v>
      </c>
      <c r="E18" s="23" t="n">
        <v>791.8</v>
      </c>
      <c r="F18" s="12" t="n">
        <v>0.9998610760293004</v>
      </c>
      <c r="G18" s="12" t="n">
        <v>1.007399395578177</v>
      </c>
    </row>
    <row r="19">
      <c r="A19" s="7" t="n">
        <v>16</v>
      </c>
      <c r="B19" t="inlineStr">
        <is>
          <t>Mai 2026</t>
        </is>
      </c>
      <c r="C19" s="23" t="n">
        <v>800</v>
      </c>
      <c r="D19" s="23" t="n">
        <v>800</v>
      </c>
      <c r="E19" s="23" t="n">
        <v>800</v>
      </c>
      <c r="F19" s="12" t="n">
        <v>1</v>
      </c>
      <c r="G19" s="12" t="n">
        <v>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4" t="inlineStr">
        <is>
          <t>EVM-arbeidsbok — Bruksanvisning</t>
        </is>
      </c>
    </row>
    <row r="2">
      <c r="A2" t="inlineStr"/>
    </row>
    <row r="3">
      <c r="A3" s="25" t="inlineStr">
        <is>
          <t>FORMÅL</t>
        </is>
      </c>
    </row>
    <row r="4">
      <c r="A4" t="inlineStr">
        <is>
          <t>Sentral kilde for KPI-er, S-kurve og avviksanalyse for LOG565 fase 3.</t>
        </is>
      </c>
    </row>
    <row r="5">
      <c r="A5" t="inlineStr">
        <is>
          <t>Arbeidsboken er generert programmatisk fra master_data.py (Arbeidsfiler/).</t>
        </is>
      </c>
    </row>
    <row r="6">
      <c r="A6" t="inlineStr"/>
    </row>
    <row r="7">
      <c r="A7" s="25" t="inlineStr">
        <is>
          <t>STRUKTUR</t>
        </is>
      </c>
    </row>
    <row r="8">
      <c r="A8" t="inlineStr">
        <is>
          <t xml:space="preserve">  • Innstillinger — prosjektrammer (BAC, risikoreserve, tidsbuffer)</t>
        </is>
      </c>
    </row>
    <row r="9">
      <c r="A9" t="inlineStr">
        <is>
          <t xml:space="preserve">  • Inngang — månedlig PV/AC/% complete kalkulert fra referater + Baseline 1</t>
        </is>
      </c>
    </row>
    <row r="10">
      <c r="A10" t="inlineStr">
        <is>
          <t xml:space="preserve">  • Dashboard — KPI-strip + måned-for-måned EVM (PV/EV/AC/CPI/SPI/EAC/VAC)</t>
        </is>
      </c>
    </row>
    <row r="11">
      <c r="A11" t="inlineStr">
        <is>
          <t xml:space="preserve">  • Risks_Log — hendelseslogg knyttet til risikoregisterets ID-er</t>
        </is>
      </c>
    </row>
    <row r="12">
      <c r="A12" t="inlineStr">
        <is>
          <t xml:space="preserve">  • S_Curve_Data — rådata for S-kurven (brukes til å eksportere bilde)</t>
        </is>
      </c>
    </row>
    <row r="13">
      <c r="A13" t="inlineStr"/>
    </row>
    <row r="14">
      <c r="A14" s="25" t="inlineStr">
        <is>
          <t>BRUK I MÅNEDSRAPPORT</t>
        </is>
      </c>
    </row>
    <row r="15">
      <c r="A15" t="inlineStr">
        <is>
          <t xml:space="preserve">  1. Hent KPI-tall fra 'Dashboard' for den aktuelle måneden</t>
        </is>
      </c>
    </row>
    <row r="16">
      <c r="A16" t="inlineStr">
        <is>
          <t xml:space="preserve">  2. Hent S-kurve fra eksportert PNG (Arbeidsfiler/s_kurve_*.png)</t>
        </is>
      </c>
    </row>
    <row r="17">
      <c r="A17" t="inlineStr">
        <is>
          <t xml:space="preserve">  3. Hent hendelses-/avviksdata fra 'Risks_Log'</t>
        </is>
      </c>
    </row>
    <row r="18">
      <c r="A18" t="inlineStr">
        <is>
          <t xml:space="preserve">  4. Sjekk sporbarhet mot 'månedsrapporter.pdf' (Bårds rådata)</t>
        </is>
      </c>
    </row>
    <row r="19">
      <c r="A19" t="inlineStr"/>
    </row>
    <row r="20">
      <c r="A20" s="25" t="inlineStr">
        <is>
          <t>KILDESPOR</t>
        </is>
      </c>
    </row>
    <row r="21">
      <c r="A21" t="inlineStr">
        <is>
          <t xml:space="preserve">  • BAC og crashing-vedtak: godkjenning-av-budsjettendring.pdf (NHB-IRGESUND)</t>
        </is>
      </c>
    </row>
    <row r="22">
      <c r="A22" t="inlineStr">
        <is>
          <t xml:space="preserve">  • Faktisk fremdrift og hendelser: månedsrapporter.pdf (16 teamledermøter)</t>
        </is>
      </c>
    </row>
    <row r="23">
      <c r="A23" t="inlineStr">
        <is>
          <t xml:space="preserve">  • WBS og baseline-rammer: irgesundinger_19104_..._WBS_struktur-simulated.xlsx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2026-05-15T18:33:43Z</dcterms:created>
  <dcterms:modified xmlns:dcterms="http://purl.org/dc/terms/" xmlns:xsi="http://www.w3.org/2001/XMLSchema-instance" xsi:type="dcterms:W3CDTF">2026-05-15T18:33:43Z</dcterms:modified>
</cp:coreProperties>
</file>