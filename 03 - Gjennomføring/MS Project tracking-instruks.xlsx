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s" sheetId="1" state="visible" r:id="rId1"/>
    <sheet xmlns:r="http://schemas.openxmlformats.org/officeDocument/2006/relationships" name="Baseline 1 oppgaver" sheetId="2" state="visible" r:id="rId2"/>
    <sheet xmlns:r="http://schemas.openxmlformats.org/officeDocument/2006/relationships" name="Crashing-endring" sheetId="3" state="visible" r:id="rId3"/>
    <sheet xmlns:r="http://schemas.openxmlformats.org/officeDocument/2006/relationships" name="Tracking per måned" sheetId="4" state="visible" r:id="rId4"/>
    <sheet xmlns:r="http://schemas.openxmlformats.org/officeDocument/2006/relationships" name="Mnd-oversikt (PV-EV-AC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 %"/>
    <numFmt numFmtId="166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i val="1"/>
      <color rgb="00666666"/>
    </font>
    <font>
      <name val="Calibri"/>
      <b val="1"/>
      <color rgb="001F4E78"/>
      <sz val="10"/>
    </font>
    <font>
      <b val="1"/>
    </font>
    <font>
      <b val="1"/>
      <color rgb="001F4E78"/>
      <sz val="14"/>
    </font>
    <font>
      <name val="Calibri"/>
      <b val="1"/>
      <color rgb="00FFFFFF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vertical="top" wrapText="1"/>
    </xf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1" t="inlineStr">
        <is>
          <t>MS Project Tracking-instruks — Nye Hædda Barneskole</t>
        </is>
      </c>
    </row>
    <row r="2" ht="35" customHeight="1">
      <c r="A2" s="2" t="inlineStr">
        <is>
          <t>Følg disse stegene i MS Project for å reflektere hele endringshistorikken (Baseline 0 → crashing → Baseline 1 → faktisk gjennomføring). Eksakte verdier ligger i de andre arkene.</t>
        </is>
      </c>
    </row>
    <row r="4">
      <c r="A4" s="3" t="inlineStr">
        <is>
          <t>FORBEREDELSE</t>
        </is>
      </c>
    </row>
    <row r="5" ht="30" customHeight="1">
      <c r="A5" s="4" t="inlineStr">
        <is>
          <t>0</t>
        </is>
      </c>
      <c r="B5" s="5" t="inlineStr">
        <is>
          <t>Åpne en kopi av 'Hædda barneskole GANTT.mpp' (fase 2). Lagre som 'Hædda barneskole GANTT - tracking.mpp' for å bevare originalen.</t>
        </is>
      </c>
    </row>
    <row r="7">
      <c r="A7" s="3" t="inlineStr">
        <is>
          <t>DEL A — BASELINE 0 (opprinnelig plan før crashing)</t>
        </is>
      </c>
    </row>
    <row r="8" ht="45" customHeight="1">
      <c r="A8" s="4" t="inlineStr">
        <is>
          <t>A1</t>
        </is>
      </c>
      <c r="B8" s="5" t="inlineStr">
        <is>
          <t>Bekreft at WBS i Project speiler de 32 arbeidspakkene i Sheet 'Baseline 1 oppgaver' (samme WBS-koder 1.1–8.5). Hvis 4.1 Råbygg i Project har 7 måneders varighet og 190 MNOK kostnad — det er Baseline 0-tilstanden (Bårds WBS-simulert).</t>
        </is>
      </c>
    </row>
    <row r="9" ht="30" customHeight="1">
      <c r="A9" s="4" t="inlineStr">
        <is>
          <t>A2</t>
        </is>
      </c>
      <c r="B9" s="5" t="inlineStr">
        <is>
          <t>Sett Baseline 0: Prosjekt → Set Baseline → Baseline 0 → Entire project → OK. Dette fryser den opprinnelige planen før crashing.</t>
        </is>
      </c>
    </row>
    <row r="10" ht="20" customHeight="1">
      <c r="A10" s="4" t="inlineStr">
        <is>
          <t>A3</t>
        </is>
      </c>
      <c r="B10" s="5" t="inlineStr">
        <is>
          <t>Lagre prosjektet.</t>
        </is>
      </c>
    </row>
    <row r="12">
      <c r="A12" s="3" t="inlineStr">
        <is>
          <t>DEL B — APPLISER CRASHING (NHB-IRGESUND-vedtak)</t>
        </is>
      </c>
    </row>
    <row r="13" ht="30" customHeight="1">
      <c r="A13" s="4" t="inlineStr">
        <is>
          <t>B1</t>
        </is>
      </c>
      <c r="B13" s="5" t="inlineStr">
        <is>
          <t>Åpne arbeidspakke 4.1 Råbygg. Endre varighet fra 7 måneder (140 dager) til 5 måneder (100 dager).</t>
        </is>
      </c>
    </row>
    <row r="14" ht="30" customHeight="1">
      <c r="A14" s="4" t="inlineStr">
        <is>
          <t>B2</t>
        </is>
      </c>
      <c r="B14" s="5" t="inlineStr">
        <is>
          <t>Endre kostnad på 4.1 Råbygg fra 190 MNOK til 240 MNOK (+50 MNOK = crashing-merkostnad iht. godkjenning-av-budsjettendring.pdf).</t>
        </is>
      </c>
    </row>
    <row r="15" ht="45" customHeight="1">
      <c r="A15" s="4" t="inlineStr">
        <is>
          <t>B3</t>
        </is>
      </c>
      <c r="B15" s="5" t="inlineStr">
        <is>
          <t>Sluttdato på 4.1 Råbygg skal nå vise desember 2025 (måned 11). Verifiser at etterfølgende pakker (4.2/4.3/4.4/4.5, 5.x) starter januar 2026 (mnd 12) og prosjektets samlede sluttdato faller på 15. mai 2026.</t>
        </is>
      </c>
    </row>
    <row r="16" ht="45" customHeight="1">
      <c r="A16" s="4" t="inlineStr">
        <is>
          <t>B4</t>
        </is>
      </c>
      <c r="B16" s="5" t="inlineStr">
        <is>
          <t>Hvis totalkostnad for prosjektet nå viser 800 MNOK — perfekt. Hvis ikke, sjekk at de andre 31 pakkene har sin opprinnelige kostnad fra Bårds WBS-simulert (sum = 560 MNOK; 4.1 utgjør 240 MNOK; totalt 800 MNOK).</t>
        </is>
      </c>
    </row>
    <row r="18">
      <c r="A18" s="3" t="inlineStr">
        <is>
          <t>DEL C — BASELINE 1 (godkjent etter crashing)</t>
        </is>
      </c>
    </row>
    <row r="19" ht="20" customHeight="1">
      <c r="A19" s="4" t="inlineStr">
        <is>
          <t>C1</t>
        </is>
      </c>
      <c r="B19" s="5" t="inlineStr">
        <is>
          <t>Sett Baseline 1: Prosjekt → Set Baseline → Baseline 1 → Entire project → OK.</t>
        </is>
      </c>
    </row>
    <row r="20" ht="20" customHeight="1">
      <c r="A20" s="4" t="inlineStr">
        <is>
          <t>C2</t>
        </is>
      </c>
      <c r="B20" s="5" t="inlineStr">
        <is>
          <t>Lagre prosjektet. Behold begge baselinene — sluttrapporten viser begge.</t>
        </is>
      </c>
    </row>
    <row r="21" ht="45" customHeight="1">
      <c r="A21" s="4" t="inlineStr">
        <is>
          <t>C3</t>
        </is>
      </c>
      <c r="B21" s="5" t="inlineStr">
        <is>
          <t>I View → Tracking Gantt: legg til Baseline 0-stolper og Baseline 1-stolper (høyreklikk på timeline → Bar Styles → ny rad for Baseline 0). Da kan du eksportere et bilde som viser hele endringshistorikken.</t>
        </is>
      </c>
    </row>
    <row r="23">
      <c r="A23" s="3" t="inlineStr">
        <is>
          <t>DEL D — FAKTISK FREMDRIFT OG KOSTNAD (16 statusdatoer)</t>
        </is>
      </c>
    </row>
    <row r="24" ht="20" customHeight="1">
      <c r="A24" s="4" t="inlineStr">
        <is>
          <t>D1</t>
        </is>
      </c>
      <c r="B24" s="5" t="inlineStr">
        <is>
          <t>Åpne View → Tracking Gantt.</t>
        </is>
      </c>
    </row>
    <row r="25" ht="20" customHeight="1">
      <c r="A25" s="4" t="inlineStr">
        <is>
          <t>D2</t>
        </is>
      </c>
      <c r="B25" s="5" t="inlineStr">
        <is>
          <t>For hver av de 16 statusdatoene (se ark 'Tracking per måned'):</t>
        </is>
      </c>
    </row>
    <row r="26" ht="20" customHeight="1">
      <c r="A26" s="4" t="inlineStr">
        <is>
          <t>D2a</t>
        </is>
      </c>
      <c r="B26" s="5" t="inlineStr">
        <is>
          <t xml:space="preserve">  a) Project → Status Date → sett til siste dag i måneden (f.eks. 28.02.2025 for mnd 1).</t>
        </is>
      </c>
    </row>
    <row r="27" ht="45" customHeight="1">
      <c r="A27" s="4" t="inlineStr">
        <is>
          <t>D2b</t>
        </is>
      </c>
      <c r="B27" s="5" t="inlineStr">
        <is>
          <t xml:space="preserve">  b) For hver pakke som er aktiv i den måneden: dobbeltklikk → fane 'Tracking' eller 'General' → fyll inn % Complete (fra arket) og Actual Cost (kumulativ påløp = sum av perioden + tidligere). Eller fyll inn 'Actual Cost' for hver periode direkte i tabellen.</t>
        </is>
      </c>
    </row>
    <row r="28" ht="20" customHeight="1">
      <c r="A28" s="4" t="inlineStr">
        <is>
          <t>D2c</t>
        </is>
      </c>
      <c r="B28" s="5" t="inlineStr">
        <is>
          <t xml:space="preserve">  c) Lagre prosjektet. Gjenta for neste måned.</t>
        </is>
      </c>
    </row>
    <row r="29" ht="30" customHeight="1">
      <c r="A29" s="4" t="inlineStr">
        <is>
          <t>D3</t>
        </is>
      </c>
      <c r="B29" s="5" t="inlineStr">
        <is>
          <t>Etter mnd 16: total Actual Cost = 800 MNOK, alle pakker 100 % fullført, sluttdato 15.05.2026. CPI = SPI = 1.000.</t>
        </is>
      </c>
    </row>
    <row r="31">
      <c r="A31" s="3" t="inlineStr">
        <is>
          <t>DEL E — RAPPORTERING (EVM + GANTT-EKSPORT)</t>
        </is>
      </c>
    </row>
    <row r="32" ht="30" customHeight="1">
      <c r="A32" s="4" t="inlineStr">
        <is>
          <t>E1</t>
        </is>
      </c>
      <c r="B32" s="5" t="inlineStr">
        <is>
          <t>Project → Reports → Costs → Earned Value Report. Verifiser at PV/EV/AC stemmer med S-kurven i månedsrapportene.</t>
        </is>
      </c>
    </row>
    <row r="33" ht="45" customHeight="1">
      <c r="A33" s="4" t="inlineStr">
        <is>
          <t>E2</t>
        </is>
      </c>
      <c r="B33" s="5" t="inlineStr">
        <is>
          <t>For hver månedsrapport: eksporter Tracking Gantt som bilde (View → Tracking Gantt → File → Print → Save as PDF, eller Snipping Tool på skjermbildet) med statuslinje på riktig dato. Lim inn under 'Figur 1' i månedsrapporten.</t>
        </is>
      </c>
    </row>
    <row r="34" ht="30" customHeight="1">
      <c r="A34" s="4" t="inlineStr">
        <is>
          <t>E3</t>
        </is>
      </c>
      <c r="B34" s="5" t="inlineStr">
        <is>
          <t>For sluttrapporten: eksporter en sammenstilt Gantt som viser Baseline 0 vs Baseline 1 vs faktisk.</t>
        </is>
      </c>
    </row>
  </sheetData>
  <mergeCells count="8">
    <mergeCell ref="A4:B4"/>
    <mergeCell ref="A2:B2"/>
    <mergeCell ref="A7:B7"/>
    <mergeCell ref="A1:B1"/>
    <mergeCell ref="A23:B23"/>
    <mergeCell ref="A18:B18"/>
    <mergeCell ref="A31:B3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22" customWidth="1" min="4" max="4"/>
    <col width="22" customWidth="1" min="5" max="5"/>
    <col width="12" customWidth="1" min="6" max="6"/>
    <col width="16" customWidth="1" min="7" max="7"/>
    <col width="28" customWidth="1" min="8" max="8"/>
  </cols>
  <sheetData>
    <row r="1">
      <c r="A1" s="6" t="inlineStr">
        <is>
          <t>Baseline 1 — alle 32 arbeidspakker (etter crashing av 4.1 Råbygg)</t>
        </is>
      </c>
    </row>
    <row r="2">
      <c r="A2" s="7" t="inlineStr">
        <is>
          <t>Disse verdiene skal stemme i MS Project etter Del A–C i instruksen. Sum BAC = 800 MNOK. Sluttdato = 15.05.2026.</t>
        </is>
      </c>
    </row>
    <row r="4">
      <c r="A4" s="8" t="inlineStr">
        <is>
          <t>WBS</t>
        </is>
      </c>
      <c r="B4" s="8" t="inlineStr">
        <is>
          <t>Aktivitet</t>
        </is>
      </c>
      <c r="C4" s="8" t="inlineStr">
        <is>
          <t>Varighet (mnd)</t>
        </is>
      </c>
      <c r="D4" s="8" t="inlineStr">
        <is>
          <t>Start (mnd)</t>
        </is>
      </c>
      <c r="E4" s="8" t="inlineStr">
        <is>
          <t>Slutt (mnd)</t>
        </is>
      </c>
      <c r="F4" s="8" t="inlineStr">
        <is>
          <t>BAC (MNOK)</t>
        </is>
      </c>
      <c r="G4" s="8" t="inlineStr">
        <is>
          <t>BAC (kr)</t>
        </is>
      </c>
      <c r="H4" s="8" t="inlineStr">
        <is>
          <t>Fagansvar</t>
        </is>
      </c>
    </row>
    <row r="5">
      <c r="A5" s="9" t="inlineStr">
        <is>
          <t>1.1</t>
        </is>
      </c>
      <c r="B5" s="9" t="inlineStr">
        <is>
          <t>Prosjektstyring</t>
        </is>
      </c>
      <c r="C5" s="10" t="n">
        <v>16</v>
      </c>
      <c r="D5" s="9" t="inlineStr">
        <is>
          <t>Mnd 1 — Februar 2025</t>
        </is>
      </c>
      <c r="E5" s="9" t="inlineStr">
        <is>
          <t>Mnd 16 — Mai 2026</t>
        </is>
      </c>
      <c r="F5" s="11" t="n">
        <v>10</v>
      </c>
      <c r="G5" s="12" t="n">
        <v>10000000</v>
      </c>
      <c r="H5" s="9" t="inlineStr">
        <is>
          <t>Prosjektleder</t>
        </is>
      </c>
    </row>
    <row r="6">
      <c r="A6" s="9" t="inlineStr">
        <is>
          <t>1.2</t>
        </is>
      </c>
      <c r="B6" s="9" t="inlineStr">
        <is>
          <t>Kontraktsoppfølging</t>
        </is>
      </c>
      <c r="C6" s="10" t="n">
        <v>14</v>
      </c>
      <c r="D6" s="9" t="inlineStr">
        <is>
          <t>Mnd 1 — Februar 2025</t>
        </is>
      </c>
      <c r="E6" s="9" t="inlineStr">
        <is>
          <t>Mnd 14 — Mars 2026</t>
        </is>
      </c>
      <c r="F6" s="11" t="n">
        <v>7</v>
      </c>
      <c r="G6" s="12" t="n">
        <v>7000000</v>
      </c>
      <c r="H6" s="9" t="inlineStr">
        <is>
          <t>Prosjektleder</t>
        </is>
      </c>
    </row>
    <row r="7">
      <c r="A7" s="9" t="inlineStr">
        <is>
          <t>1.3</t>
        </is>
      </c>
      <c r="B7" s="9" t="inlineStr">
        <is>
          <t>Interessenthåndtering</t>
        </is>
      </c>
      <c r="C7" s="10" t="n">
        <v>15</v>
      </c>
      <c r="D7" s="9" t="inlineStr">
        <is>
          <t>Mnd 1 — Februar 2025</t>
        </is>
      </c>
      <c r="E7" s="9" t="inlineStr">
        <is>
          <t>Mnd 15 — April 2026</t>
        </is>
      </c>
      <c r="F7" s="11" t="n">
        <v>4</v>
      </c>
      <c r="G7" s="12" t="n">
        <v>4000000</v>
      </c>
      <c r="H7" s="9" t="inlineStr">
        <is>
          <t>Prosjektleder</t>
        </is>
      </c>
    </row>
    <row r="8">
      <c r="A8" s="9" t="inlineStr">
        <is>
          <t>1.4</t>
        </is>
      </c>
      <c r="B8" s="9" t="inlineStr">
        <is>
          <t>Risiko- og Kvalitetsstyring</t>
        </is>
      </c>
      <c r="C8" s="10" t="n">
        <v>15</v>
      </c>
      <c r="D8" s="9" t="inlineStr">
        <is>
          <t>Mnd 1 — Februar 2025</t>
        </is>
      </c>
      <c r="E8" s="9" t="inlineStr">
        <is>
          <t>Mnd 15 — April 2026</t>
        </is>
      </c>
      <c r="F8" s="11" t="n">
        <v>4</v>
      </c>
      <c r="G8" s="12" t="n">
        <v>4000000</v>
      </c>
      <c r="H8" s="9" t="inlineStr">
        <is>
          <t>HMS-/KS-ansvarlig</t>
        </is>
      </c>
    </row>
    <row r="9">
      <c r="A9" s="9" t="inlineStr">
        <is>
          <t>2.1</t>
        </is>
      </c>
      <c r="B9" s="9" t="inlineStr">
        <is>
          <t>Detaljprosjektering</t>
        </is>
      </c>
      <c r="C9" s="10" t="n">
        <v>4</v>
      </c>
      <c r="D9" s="9" t="inlineStr">
        <is>
          <t>Mnd 1 — Februar 2025</t>
        </is>
      </c>
      <c r="E9" s="9" t="inlineStr">
        <is>
          <t>Mnd 4 — Mai 2025</t>
        </is>
      </c>
      <c r="F9" s="11" t="n">
        <v>50</v>
      </c>
      <c r="G9" s="12" t="n">
        <v>50000000</v>
      </c>
      <c r="H9" s="9" t="inlineStr">
        <is>
          <t>Arkitekt</t>
        </is>
      </c>
    </row>
    <row r="10">
      <c r="A10" s="9" t="inlineStr">
        <is>
          <t>2.2</t>
        </is>
      </c>
      <c r="B10" s="9" t="inlineStr">
        <is>
          <t>Offentlige Godkjenninger</t>
        </is>
      </c>
      <c r="C10" s="10" t="n">
        <v>3</v>
      </c>
      <c r="D10" s="9" t="inlineStr">
        <is>
          <t>Mnd 1 — Februar 2025</t>
        </is>
      </c>
      <c r="E10" s="9" t="inlineStr">
        <is>
          <t>Mnd 3 — April 2025</t>
        </is>
      </c>
      <c r="F10" s="11" t="n">
        <v>12</v>
      </c>
      <c r="G10" s="12" t="n">
        <v>12000000</v>
      </c>
      <c r="H10" s="9" t="inlineStr">
        <is>
          <t>Arkitekt/PL</t>
        </is>
      </c>
    </row>
    <row r="11">
      <c r="A11" s="9" t="inlineStr">
        <is>
          <t>2.3</t>
        </is>
      </c>
      <c r="B11" s="9" t="inlineStr">
        <is>
          <t>Konkurransegrunnlag</t>
        </is>
      </c>
      <c r="C11" s="10" t="n">
        <v>3</v>
      </c>
      <c r="D11" s="9" t="inlineStr">
        <is>
          <t>Mnd 1 — Februar 2025</t>
        </is>
      </c>
      <c r="E11" s="9" t="inlineStr">
        <is>
          <t>Mnd 3 — April 2025</t>
        </is>
      </c>
      <c r="F11" s="11" t="n">
        <v>8</v>
      </c>
      <c r="G11" s="12" t="n">
        <v>8000000</v>
      </c>
      <c r="H11" s="9" t="inlineStr">
        <is>
          <t>Innkjøpsleder</t>
        </is>
      </c>
    </row>
    <row r="12">
      <c r="A12" s="9" t="inlineStr">
        <is>
          <t>3.1</t>
        </is>
      </c>
      <c r="B12" s="9" t="inlineStr">
        <is>
          <t>Miljøsanering</t>
        </is>
      </c>
      <c r="C12" s="10" t="n">
        <v>1</v>
      </c>
      <c r="D12" s="9" t="inlineStr">
        <is>
          <t>Mnd 4 — Mai 2025</t>
        </is>
      </c>
      <c r="E12" s="9" t="inlineStr">
        <is>
          <t>Mnd 4 — Mai 2025</t>
        </is>
      </c>
      <c r="F12" s="11" t="n">
        <v>12</v>
      </c>
      <c r="G12" s="12" t="n">
        <v>12000000</v>
      </c>
      <c r="H12" s="9" t="inlineStr">
        <is>
          <t>Miljørådgiver</t>
        </is>
      </c>
    </row>
    <row r="13">
      <c r="A13" s="9" t="inlineStr">
        <is>
          <t>3.2</t>
        </is>
      </c>
      <c r="B13" s="9" t="inlineStr">
        <is>
          <t>Riving</t>
        </is>
      </c>
      <c r="C13" s="10" t="n">
        <v>2</v>
      </c>
      <c r="D13" s="9" t="inlineStr">
        <is>
          <t>Mnd 4 — Mai 2025</t>
        </is>
      </c>
      <c r="E13" s="9" t="inlineStr">
        <is>
          <t>Mnd 5 — Juni 2025</t>
        </is>
      </c>
      <c r="F13" s="11" t="n">
        <v>18</v>
      </c>
      <c r="G13" s="12" t="n">
        <v>18000000</v>
      </c>
      <c r="H13" s="9" t="inlineStr">
        <is>
          <t>Entreprenør</t>
        </is>
      </c>
    </row>
    <row r="14">
      <c r="A14" s="9" t="inlineStr">
        <is>
          <t>3.3</t>
        </is>
      </c>
      <c r="B14" s="9" t="inlineStr">
        <is>
          <t>Grunnarbeid</t>
        </is>
      </c>
      <c r="C14" s="10" t="n">
        <v>3</v>
      </c>
      <c r="D14" s="9" t="inlineStr">
        <is>
          <t>Mnd 5 — Juni 2025</t>
        </is>
      </c>
      <c r="E14" s="9" t="inlineStr">
        <is>
          <t>Mnd 7 — August 2025</t>
        </is>
      </c>
      <c r="F14" s="11" t="n">
        <v>40</v>
      </c>
      <c r="G14" s="12" t="n">
        <v>40000000</v>
      </c>
      <c r="H14" s="9" t="inlineStr">
        <is>
          <t>Grunnentreprenør</t>
        </is>
      </c>
    </row>
    <row r="15">
      <c r="A15" s="13" t="inlineStr">
        <is>
          <t>4.1</t>
        </is>
      </c>
      <c r="B15" s="13" t="inlineStr">
        <is>
          <t>Råbygg</t>
        </is>
      </c>
      <c r="C15" s="14" t="n">
        <v>5</v>
      </c>
      <c r="D15" s="13" t="inlineStr">
        <is>
          <t>Mnd 7 — August 2025</t>
        </is>
      </c>
      <c r="E15" s="13" t="inlineStr">
        <is>
          <t>Mnd 11 — Desember 2025</t>
        </is>
      </c>
      <c r="F15" s="15" t="n">
        <v>240</v>
      </c>
      <c r="G15" s="16" t="n">
        <v>240000000</v>
      </c>
      <c r="H15" s="13" t="inlineStr">
        <is>
          <t>Totalentreprenør</t>
        </is>
      </c>
    </row>
    <row r="16">
      <c r="A16" s="9" t="inlineStr">
        <is>
          <t>4.2</t>
        </is>
      </c>
      <c r="B16" s="9" t="inlineStr">
        <is>
          <t>Innvendig Komplettering – 1. Etasje</t>
        </is>
      </c>
      <c r="C16" s="10" t="n">
        <v>3</v>
      </c>
      <c r="D16" s="9" t="inlineStr">
        <is>
          <t>Mnd 12 — Januar 2026</t>
        </is>
      </c>
      <c r="E16" s="9" t="inlineStr">
        <is>
          <t>Mnd 14 — Mars 2026</t>
        </is>
      </c>
      <c r="F16" s="11" t="n">
        <v>35</v>
      </c>
      <c r="G16" s="12" t="n">
        <v>35000000</v>
      </c>
      <c r="H16" s="9" t="inlineStr">
        <is>
          <t>Totalentreprenør</t>
        </is>
      </c>
    </row>
    <row r="17">
      <c r="A17" s="9" t="inlineStr">
        <is>
          <t>4.3</t>
        </is>
      </c>
      <c r="B17" s="9" t="inlineStr">
        <is>
          <t>Innvendig Komplettering – 2. Etasje</t>
        </is>
      </c>
      <c r="C17" s="10" t="n">
        <v>3</v>
      </c>
      <c r="D17" s="9" t="inlineStr">
        <is>
          <t>Mnd 12 — Januar 2026</t>
        </is>
      </c>
      <c r="E17" s="9" t="inlineStr">
        <is>
          <t>Mnd 14 — Mars 2026</t>
        </is>
      </c>
      <c r="F17" s="11" t="n">
        <v>35</v>
      </c>
      <c r="G17" s="12" t="n">
        <v>35000000</v>
      </c>
      <c r="H17" s="9" t="inlineStr">
        <is>
          <t>Totalentreprenør</t>
        </is>
      </c>
    </row>
    <row r="18">
      <c r="A18" s="9" t="inlineStr">
        <is>
          <t>4.4</t>
        </is>
      </c>
      <c r="B18" s="9" t="inlineStr">
        <is>
          <t>Innvendig Komplettering – 3. Etasje</t>
        </is>
      </c>
      <c r="C18" s="10" t="n">
        <v>3</v>
      </c>
      <c r="D18" s="9" t="inlineStr">
        <is>
          <t>Mnd 12 — Januar 2026</t>
        </is>
      </c>
      <c r="E18" s="9" t="inlineStr">
        <is>
          <t>Mnd 14 — Mars 2026</t>
        </is>
      </c>
      <c r="F18" s="11" t="n">
        <v>35</v>
      </c>
      <c r="G18" s="12" t="n">
        <v>35000000</v>
      </c>
      <c r="H18" s="9" t="inlineStr">
        <is>
          <t>Totalentreprenør</t>
        </is>
      </c>
    </row>
    <row r="19">
      <c r="A19" s="9" t="inlineStr">
        <is>
          <t>4.5</t>
        </is>
      </c>
      <c r="B19" s="9" t="inlineStr">
        <is>
          <t>Gymsal</t>
        </is>
      </c>
      <c r="C19" s="10" t="n">
        <v>2</v>
      </c>
      <c r="D19" s="9" t="inlineStr">
        <is>
          <t>Mnd 12 — Januar 2026</t>
        </is>
      </c>
      <c r="E19" s="9" t="inlineStr">
        <is>
          <t>Mnd 13 — Februar 2026</t>
        </is>
      </c>
      <c r="F19" s="11" t="n">
        <v>15</v>
      </c>
      <c r="G19" s="12" t="n">
        <v>15000000</v>
      </c>
      <c r="H19" s="9" t="inlineStr">
        <is>
          <t>Totalentreprenør</t>
        </is>
      </c>
    </row>
    <row r="20">
      <c r="A20" s="9" t="inlineStr">
        <is>
          <t>5.1</t>
        </is>
      </c>
      <c r="B20" s="9" t="inlineStr">
        <is>
          <t>VVS</t>
        </is>
      </c>
      <c r="C20" s="10" t="n">
        <v>4</v>
      </c>
      <c r="D20" s="9" t="inlineStr">
        <is>
          <t>Mnd 12 — Januar 2026</t>
        </is>
      </c>
      <c r="E20" s="9" t="inlineStr">
        <is>
          <t>Mnd 15 — April 2026</t>
        </is>
      </c>
      <c r="F20" s="11" t="n">
        <v>55</v>
      </c>
      <c r="G20" s="12" t="n">
        <v>55000000</v>
      </c>
      <c r="H20" s="9" t="inlineStr">
        <is>
          <t>VVS-entreprenør</t>
        </is>
      </c>
    </row>
    <row r="21">
      <c r="A21" s="9" t="inlineStr">
        <is>
          <t>5.2</t>
        </is>
      </c>
      <c r="B21" s="9" t="inlineStr">
        <is>
          <t>Elektro</t>
        </is>
      </c>
      <c r="C21" s="10" t="n">
        <v>4</v>
      </c>
      <c r="D21" s="9" t="inlineStr">
        <is>
          <t>Mnd 12 — Januar 2026</t>
        </is>
      </c>
      <c r="E21" s="9" t="inlineStr">
        <is>
          <t>Mnd 15 — April 2026</t>
        </is>
      </c>
      <c r="F21" s="11" t="n">
        <v>45</v>
      </c>
      <c r="G21" s="12" t="n">
        <v>45000000</v>
      </c>
      <c r="H21" s="9" t="inlineStr">
        <is>
          <t>Elektroentreprenør</t>
        </is>
      </c>
    </row>
    <row r="22">
      <c r="A22" s="9" t="inlineStr">
        <is>
          <t>5.3</t>
        </is>
      </c>
      <c r="B22" s="9" t="inlineStr">
        <is>
          <t>Heis og Vertikal Transport</t>
        </is>
      </c>
      <c r="C22" s="10" t="n">
        <v>2</v>
      </c>
      <c r="D22" s="9" t="inlineStr">
        <is>
          <t>Mnd 12 — Januar 2026</t>
        </is>
      </c>
      <c r="E22" s="9" t="inlineStr">
        <is>
          <t>Mnd 13 — Februar 2026</t>
        </is>
      </c>
      <c r="F22" s="11" t="n">
        <v>12</v>
      </c>
      <c r="G22" s="12" t="n">
        <v>12000000</v>
      </c>
      <c r="H22" s="9" t="inlineStr">
        <is>
          <t>Heisleverandør</t>
        </is>
      </c>
    </row>
    <row r="23">
      <c r="A23" s="9" t="inlineStr">
        <is>
          <t>5.4</t>
        </is>
      </c>
      <c r="B23" s="9" t="inlineStr">
        <is>
          <t>Automasjon (SD-anlegg)</t>
        </is>
      </c>
      <c r="C23" s="10" t="n">
        <v>2</v>
      </c>
      <c r="D23" s="9" t="inlineStr">
        <is>
          <t>Mnd 12 — Januar 2026</t>
        </is>
      </c>
      <c r="E23" s="9" t="inlineStr">
        <is>
          <t>Mnd 13 — Februar 2026</t>
        </is>
      </c>
      <c r="F23" s="11" t="n">
        <v>13</v>
      </c>
      <c r="G23" s="12" t="n">
        <v>13000000</v>
      </c>
      <c r="H23" s="9" t="inlineStr">
        <is>
          <t>Automasjonsentreprenør</t>
        </is>
      </c>
    </row>
    <row r="24">
      <c r="A24" s="9" t="inlineStr">
        <is>
          <t>5.5</t>
        </is>
      </c>
      <c r="B24" s="9" t="inlineStr">
        <is>
          <t>IKT og Sikkerhet</t>
        </is>
      </c>
      <c r="C24" s="10" t="n">
        <v>2</v>
      </c>
      <c r="D24" s="9" t="inlineStr">
        <is>
          <t>Mnd 12 — Januar 2026</t>
        </is>
      </c>
      <c r="E24" s="9" t="inlineStr">
        <is>
          <t>Mnd 13 — Februar 2026</t>
        </is>
      </c>
      <c r="F24" s="11" t="n">
        <v>25</v>
      </c>
      <c r="G24" s="12" t="n">
        <v>25000000</v>
      </c>
      <c r="H24" s="9" t="inlineStr">
        <is>
          <t>IKT-leverandør</t>
        </is>
      </c>
    </row>
    <row r="25">
      <c r="A25" s="9" t="inlineStr">
        <is>
          <t>6.1</t>
        </is>
      </c>
      <c r="B25" s="9" t="inlineStr">
        <is>
          <t>Lekearealer</t>
        </is>
      </c>
      <c r="C25" s="10" t="n">
        <v>2</v>
      </c>
      <c r="D25" s="9" t="inlineStr">
        <is>
          <t>Mnd 7 — August 2025</t>
        </is>
      </c>
      <c r="E25" s="9" t="inlineStr">
        <is>
          <t>Mnd 8 — September 2025</t>
        </is>
      </c>
      <c r="F25" s="11" t="n">
        <v>7</v>
      </c>
      <c r="G25" s="12" t="n">
        <v>7000000</v>
      </c>
      <c r="H25" s="9" t="inlineStr">
        <is>
          <t>Landskapsentreprenør</t>
        </is>
      </c>
    </row>
    <row r="26">
      <c r="A26" s="9" t="inlineStr">
        <is>
          <t>6.2</t>
        </is>
      </c>
      <c r="B26" s="9" t="inlineStr">
        <is>
          <t>Sport og Fritid</t>
        </is>
      </c>
      <c r="C26" s="10" t="n">
        <v>2</v>
      </c>
      <c r="D26" s="9" t="inlineStr">
        <is>
          <t>Mnd 7 — August 2025</t>
        </is>
      </c>
      <c r="E26" s="9" t="inlineStr">
        <is>
          <t>Mnd 8 — September 2025</t>
        </is>
      </c>
      <c r="F26" s="11" t="n">
        <v>6</v>
      </c>
      <c r="G26" s="12" t="n">
        <v>6000000</v>
      </c>
      <c r="H26" s="9" t="inlineStr">
        <is>
          <t>Landskapsentreprenør</t>
        </is>
      </c>
    </row>
    <row r="27">
      <c r="A27" s="9" t="inlineStr">
        <is>
          <t>6.3</t>
        </is>
      </c>
      <c r="B27" s="9" t="inlineStr">
        <is>
          <t>Infrastruktur</t>
        </is>
      </c>
      <c r="C27" s="10" t="n">
        <v>2</v>
      </c>
      <c r="D27" s="9" t="inlineStr">
        <is>
          <t>Mnd 7 — August 2025</t>
        </is>
      </c>
      <c r="E27" s="9" t="inlineStr">
        <is>
          <t>Mnd 8 — September 2025</t>
        </is>
      </c>
      <c r="F27" s="11" t="n">
        <v>8</v>
      </c>
      <c r="G27" s="12" t="n">
        <v>8000000</v>
      </c>
      <c r="H27" s="9" t="inlineStr">
        <is>
          <t>Anleggsentreprenør</t>
        </is>
      </c>
    </row>
    <row r="28">
      <c r="A28" s="9" t="inlineStr">
        <is>
          <t>6.4</t>
        </is>
      </c>
      <c r="B28" s="9" t="inlineStr">
        <is>
          <t>Grøntanlegg</t>
        </is>
      </c>
      <c r="C28" s="10" t="n">
        <v>1</v>
      </c>
      <c r="D28" s="9" t="inlineStr">
        <is>
          <t>Mnd 7 — August 2025</t>
        </is>
      </c>
      <c r="E28" s="9" t="inlineStr">
        <is>
          <t>Mnd 7 — August 2025</t>
        </is>
      </c>
      <c r="F28" s="11" t="n">
        <v>4</v>
      </c>
      <c r="G28" s="12" t="n">
        <v>4000000</v>
      </c>
      <c r="H28" s="9" t="inlineStr">
        <is>
          <t>Landskapsentreprenør</t>
        </is>
      </c>
    </row>
    <row r="29">
      <c r="A29" s="9" t="inlineStr">
        <is>
          <t>7.1</t>
        </is>
      </c>
      <c r="B29" s="9" t="inlineStr">
        <is>
          <t>Løst Inventar</t>
        </is>
      </c>
      <c r="C29" s="10" t="n">
        <v>2</v>
      </c>
      <c r="D29" s="9" t="inlineStr">
        <is>
          <t>Mnd 14 — Mars 2026</t>
        </is>
      </c>
      <c r="E29" s="9" t="inlineStr">
        <is>
          <t>Mnd 15 — April 2026</t>
        </is>
      </c>
      <c r="F29" s="11" t="n">
        <v>30</v>
      </c>
      <c r="G29" s="12" t="n">
        <v>30000000</v>
      </c>
      <c r="H29" s="9" t="inlineStr">
        <is>
          <t>Innkjøpsleder</t>
        </is>
      </c>
    </row>
    <row r="30">
      <c r="A30" s="9" t="inlineStr">
        <is>
          <t>7.2</t>
        </is>
      </c>
      <c r="B30" s="9" t="inlineStr">
        <is>
          <t>Spesialutstyr</t>
        </is>
      </c>
      <c r="C30" s="10" t="n">
        <v>2</v>
      </c>
      <c r="D30" s="9" t="inlineStr">
        <is>
          <t>Mnd 14 — Mars 2026</t>
        </is>
      </c>
      <c r="E30" s="9" t="inlineStr">
        <is>
          <t>Mnd 15 — April 2026</t>
        </is>
      </c>
      <c r="F30" s="11" t="n">
        <v>25</v>
      </c>
      <c r="G30" s="12" t="n">
        <v>25000000</v>
      </c>
      <c r="H30" s="9" t="inlineStr">
        <is>
          <t>Innkjøpsleder</t>
        </is>
      </c>
    </row>
    <row r="31">
      <c r="A31" s="9" t="inlineStr">
        <is>
          <t>7.3</t>
        </is>
      </c>
      <c r="B31" s="9" t="inlineStr">
        <is>
          <t>AV-løsninger</t>
        </is>
      </c>
      <c r="C31" s="10" t="n">
        <v>2</v>
      </c>
      <c r="D31" s="9" t="inlineStr">
        <is>
          <t>Mnd 14 — Mars 2026</t>
        </is>
      </c>
      <c r="E31" s="9" t="inlineStr">
        <is>
          <t>Mnd 15 — April 2026</t>
        </is>
      </c>
      <c r="F31" s="11" t="n">
        <v>15</v>
      </c>
      <c r="G31" s="12" t="n">
        <v>15000000</v>
      </c>
      <c r="H31" s="9" t="inlineStr">
        <is>
          <t>IKT-leverandør</t>
        </is>
      </c>
    </row>
    <row r="32">
      <c r="A32" s="9" t="inlineStr">
        <is>
          <t>8.1</t>
        </is>
      </c>
      <c r="B32" s="9" t="inlineStr">
        <is>
          <t>Testing og Prøvedrift</t>
        </is>
      </c>
      <c r="C32" s="10" t="n">
        <v>1</v>
      </c>
      <c r="D32" s="9" t="inlineStr">
        <is>
          <t>Mnd 15 — April 2026</t>
        </is>
      </c>
      <c r="E32" s="9" t="inlineStr">
        <is>
          <t>Mnd 15 — April 2026</t>
        </is>
      </c>
      <c r="F32" s="11" t="n">
        <v>10</v>
      </c>
      <c r="G32" s="12" t="n">
        <v>10000000</v>
      </c>
      <c r="H32" s="9" t="inlineStr">
        <is>
          <t>Prosjektleder</t>
        </is>
      </c>
    </row>
    <row r="33">
      <c r="A33" s="9" t="inlineStr">
        <is>
          <t>8.2</t>
        </is>
      </c>
      <c r="B33" s="9" t="inlineStr">
        <is>
          <t>Ferdigbefaring (BP3)</t>
        </is>
      </c>
      <c r="C33" s="10" t="n">
        <v>2</v>
      </c>
      <c r="D33" s="9" t="inlineStr">
        <is>
          <t>Mnd 15 — April 2026</t>
        </is>
      </c>
      <c r="E33" s="9" t="inlineStr">
        <is>
          <t>Mnd 16 — Mai 2026</t>
        </is>
      </c>
      <c r="F33" s="11" t="n">
        <v>8</v>
      </c>
      <c r="G33" s="12" t="n">
        <v>8000000</v>
      </c>
      <c r="H33" s="9" t="inlineStr">
        <is>
          <t>Prosjektleder</t>
        </is>
      </c>
    </row>
    <row r="34">
      <c r="A34" s="9" t="inlineStr">
        <is>
          <t>8.3</t>
        </is>
      </c>
      <c r="B34" s="9" t="inlineStr">
        <is>
          <t>Dokumentasjon</t>
        </is>
      </c>
      <c r="C34" s="10" t="n">
        <v>2</v>
      </c>
      <c r="D34" s="9" t="inlineStr">
        <is>
          <t>Mnd 15 — April 2026</t>
        </is>
      </c>
      <c r="E34" s="9" t="inlineStr">
        <is>
          <t>Mnd 16 — Mai 2026</t>
        </is>
      </c>
      <c r="F34" s="11" t="n">
        <v>5</v>
      </c>
      <c r="G34" s="12" t="n">
        <v>5000000</v>
      </c>
      <c r="H34" s="9" t="inlineStr">
        <is>
          <t>FDV-ansvarlig</t>
        </is>
      </c>
    </row>
    <row r="35">
      <c r="A35" s="9" t="inlineStr">
        <is>
          <t>8.4</t>
        </is>
      </c>
      <c r="B35" s="9" t="inlineStr">
        <is>
          <t>Brukeropplæring</t>
        </is>
      </c>
      <c r="C35" s="10" t="n">
        <v>1</v>
      </c>
      <c r="D35" s="9" t="inlineStr">
        <is>
          <t>Mnd 16 — Mai 2026</t>
        </is>
      </c>
      <c r="E35" s="9" t="inlineStr">
        <is>
          <t>Mnd 16 — Mai 2026</t>
        </is>
      </c>
      <c r="F35" s="11" t="n">
        <v>4</v>
      </c>
      <c r="G35" s="12" t="n">
        <v>4000000</v>
      </c>
      <c r="H35" s="9" t="inlineStr">
        <is>
          <t>Driftssjef</t>
        </is>
      </c>
    </row>
    <row r="36">
      <c r="A36" s="9" t="inlineStr">
        <is>
          <t>8.5</t>
        </is>
      </c>
      <c r="B36" s="9" t="inlineStr">
        <is>
          <t>Prosjektevaluering</t>
        </is>
      </c>
      <c r="C36" s="10" t="n">
        <v>1</v>
      </c>
      <c r="D36" s="9" t="inlineStr">
        <is>
          <t>Mnd 16 — Mai 2026</t>
        </is>
      </c>
      <c r="E36" s="9" t="inlineStr">
        <is>
          <t>Mnd 16 — Mai 2026</t>
        </is>
      </c>
      <c r="F36" s="11" t="n">
        <v>3</v>
      </c>
      <c r="G36" s="12" t="n">
        <v>3000000</v>
      </c>
      <c r="H36" s="9" t="inlineStr">
        <is>
          <t>Prosjektleder</t>
        </is>
      </c>
    </row>
    <row r="37">
      <c r="B37" s="17" t="inlineStr">
        <is>
          <t>TOTAL</t>
        </is>
      </c>
      <c r="F37" s="18">
        <f>SUM(F5:F36)</f>
        <v/>
      </c>
      <c r="G37" s="19">
        <f>SUM(G5:G36)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0" customWidth="1" min="4" max="4"/>
  </cols>
  <sheetData>
    <row r="1">
      <c r="A1" s="6" t="inlineStr">
        <is>
          <t>Crashing-endring på 4.1 Råbygg (NHB-IRGESUND)</t>
        </is>
      </c>
    </row>
    <row r="3">
      <c r="A3" s="20" t="inlineStr">
        <is>
          <t>Aktivitet 4.1 Råbygg endres iht. kommunestyrets vedtak datert 07.05.2026.</t>
        </is>
      </c>
    </row>
    <row r="5">
      <c r="A5" s="8" t="inlineStr">
        <is>
          <t>Parameter</t>
        </is>
      </c>
      <c r="B5" s="8" t="inlineStr">
        <is>
          <t>Baseline 0 (Bårds simulering)</t>
        </is>
      </c>
      <c r="C5" s="8" t="inlineStr">
        <is>
          <t>Baseline 1 (etter crashing)</t>
        </is>
      </c>
      <c r="D5" s="8" t="inlineStr">
        <is>
          <t>Endring</t>
        </is>
      </c>
    </row>
    <row r="6">
      <c r="A6" s="21" t="inlineStr">
        <is>
          <t>Varighet</t>
        </is>
      </c>
      <c r="B6" s="21" t="inlineStr">
        <is>
          <t>7 måneder</t>
        </is>
      </c>
      <c r="C6" s="21" t="inlineStr">
        <is>
          <t>5 måneder</t>
        </is>
      </c>
      <c r="D6" s="21" t="inlineStr">
        <is>
          <t>–2 mnd</t>
        </is>
      </c>
    </row>
    <row r="7">
      <c r="A7" s="21" t="inlineStr">
        <is>
          <t>Start</t>
        </is>
      </c>
      <c r="B7" s="21" t="inlineStr">
        <is>
          <t>Aug 2025 (mnd 7)</t>
        </is>
      </c>
      <c r="C7" s="21" t="inlineStr">
        <is>
          <t>Aug 2025 (mnd 7)</t>
        </is>
      </c>
      <c r="D7" s="21" t="inlineStr">
        <is>
          <t>Uendret</t>
        </is>
      </c>
    </row>
    <row r="8">
      <c r="A8" s="21" t="inlineStr">
        <is>
          <t>Slutt</t>
        </is>
      </c>
      <c r="B8" s="21" t="inlineStr">
        <is>
          <t>Feb 2026 (mnd 13)</t>
        </is>
      </c>
      <c r="C8" s="21" t="inlineStr">
        <is>
          <t>Des 2025 (mnd 11)</t>
        </is>
      </c>
      <c r="D8" s="21" t="inlineStr">
        <is>
          <t>–2 mnd tidligere</t>
        </is>
      </c>
    </row>
    <row r="9">
      <c r="A9" s="21" t="inlineStr">
        <is>
          <t>Kostnad</t>
        </is>
      </c>
      <c r="B9" s="21" t="inlineStr">
        <is>
          <t>190 MNOK</t>
        </is>
      </c>
      <c r="C9" s="21" t="inlineStr">
        <is>
          <t>240 MNOK</t>
        </is>
      </c>
      <c r="D9" s="21" t="inlineStr">
        <is>
          <t>+50 MNOK</t>
        </is>
      </c>
    </row>
    <row r="10">
      <c r="A10" s="21" t="inlineStr">
        <is>
          <t>Prosjektets totalkostnad</t>
        </is>
      </c>
      <c r="B10" s="21" t="inlineStr">
        <is>
          <t>750 MNOK</t>
        </is>
      </c>
      <c r="C10" s="21" t="inlineStr">
        <is>
          <t>800 MNOK</t>
        </is>
      </c>
      <c r="D10" s="21" t="inlineStr">
        <is>
          <t>+50 MNOK (utvidet ramme)</t>
        </is>
      </c>
    </row>
    <row r="11">
      <c r="A11" s="21" t="inlineStr">
        <is>
          <t>Prosjektets sluttdato</t>
        </is>
      </c>
      <c r="B11" s="21" t="inlineStr">
        <is>
          <t>Juli 2026 (forsinket)</t>
        </is>
      </c>
      <c r="C11" s="21" t="inlineStr">
        <is>
          <t>15. mai 2026 (i tide)</t>
        </is>
      </c>
      <c r="D11" s="21" t="inlineStr">
        <is>
          <t>–6 uker</t>
        </is>
      </c>
    </row>
    <row r="12">
      <c r="A12" s="21" t="inlineStr">
        <is>
          <t>Vedtak</t>
        </is>
      </c>
      <c r="B12" s="21" t="inlineStr">
        <is>
          <t>—</t>
        </is>
      </c>
      <c r="C12" s="21" t="inlineStr">
        <is>
          <t>Kommunestyret sak NHB-IRGESUND</t>
        </is>
      </c>
      <c r="D12" s="21" t="inlineStr">
        <is>
          <t>Godkjent 07.05.2026</t>
        </is>
      </c>
    </row>
    <row r="13">
      <c r="A13" s="21" t="inlineStr">
        <is>
          <t>Endringsdokument</t>
        </is>
      </c>
      <c r="B13" s="21" t="inlineStr">
        <is>
          <t>—</t>
        </is>
      </c>
      <c r="C13" s="21" t="inlineStr">
        <is>
          <t>Endringsdokument NHB-IRGESUND - Schedule crashing.docx</t>
        </is>
      </c>
      <c r="D13" s="21" t="inlineStr">
        <is>
          <t>—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36" customWidth="1" min="4" max="4"/>
    <col width="14" customWidth="1" min="5" max="5"/>
    <col width="18" customWidth="1" min="6" max="6"/>
    <col width="18" customWidth="1" min="7" max="7"/>
  </cols>
  <sheetData>
    <row r="1">
      <c r="A1" s="6" t="inlineStr">
        <is>
          <t>Tracking-data per statusdato — verdier å skrive inn i MS Project</t>
        </is>
      </c>
    </row>
    <row r="2" ht="50" customHeight="1">
      <c r="A2" s="5" t="inlineStr">
        <is>
          <t>For hver måned: sett Project Status Date til 'Statusdato'-kolonnen, deretter for hver listede pakke fyll inn '% complete kum.' og 'Actual Cost kum.' (eller 'Actual Cost periode' om du foretrekker per-periode). Pakker som ikke er listet i en gitt måned er enten 0 % eller 100 % i den måneden.</t>
        </is>
      </c>
    </row>
    <row r="4">
      <c r="A4" s="8" t="inlineStr">
        <is>
          <t>Mnd</t>
        </is>
      </c>
      <c r="B4" s="8" t="inlineStr">
        <is>
          <t>Statusdato</t>
        </is>
      </c>
      <c r="C4" s="8" t="inlineStr">
        <is>
          <t>Pakke (WBS)</t>
        </is>
      </c>
      <c r="D4" s="8" t="inlineStr">
        <is>
          <t>Aktivitet</t>
        </is>
      </c>
      <c r="E4" s="8" t="inlineStr">
        <is>
          <t>% complete kum.</t>
        </is>
      </c>
      <c r="F4" s="8" t="inlineStr">
        <is>
          <t>Påløpt i perioden (MNOK)</t>
        </is>
      </c>
      <c r="G4" s="8" t="inlineStr">
        <is>
          <t>Akkumulert AC pakke (MNOK)</t>
        </is>
      </c>
    </row>
    <row r="5">
      <c r="A5" s="10" t="n">
        <v>1</v>
      </c>
      <c r="B5" s="9" t="inlineStr">
        <is>
          <t>28.02.2025</t>
        </is>
      </c>
      <c r="C5" s="9" t="inlineStr">
        <is>
          <t>2.1</t>
        </is>
      </c>
      <c r="D5" s="9" t="inlineStr">
        <is>
          <t>Detaljprosjektering</t>
        </is>
      </c>
      <c r="E5" s="22" t="n">
        <v>0.3</v>
      </c>
      <c r="F5" s="11" t="n">
        <v>14.8</v>
      </c>
      <c r="G5" s="11" t="n">
        <v>14.8</v>
      </c>
    </row>
    <row r="6">
      <c r="A6" s="10" t="n">
        <v>1</v>
      </c>
      <c r="B6" s="9" t="inlineStr">
        <is>
          <t>28.02.2025</t>
        </is>
      </c>
      <c r="C6" s="9" t="inlineStr">
        <is>
          <t>2.2</t>
        </is>
      </c>
      <c r="D6" s="9" t="inlineStr">
        <is>
          <t>Offentlige Godkjenninger</t>
        </is>
      </c>
      <c r="E6" s="22" t="n">
        <v>0.36</v>
      </c>
      <c r="F6" s="11" t="n">
        <v>4.3</v>
      </c>
      <c r="G6" s="11" t="n">
        <v>4.3</v>
      </c>
    </row>
    <row r="7">
      <c r="A7" s="10" t="n">
        <v>1</v>
      </c>
      <c r="B7" s="9" t="inlineStr">
        <is>
          <t>28.02.2025</t>
        </is>
      </c>
      <c r="C7" s="9" t="inlineStr">
        <is>
          <t>2.3</t>
        </is>
      </c>
      <c r="D7" s="9" t="inlineStr">
        <is>
          <t>Konkurransegrunnlag</t>
        </is>
      </c>
      <c r="E7" s="22" t="n">
        <v>0.45</v>
      </c>
      <c r="F7" s="11" t="n">
        <v>3.6</v>
      </c>
      <c r="G7" s="11" t="n">
        <v>3.6</v>
      </c>
    </row>
    <row r="8">
      <c r="A8" s="10" t="n">
        <v>1</v>
      </c>
      <c r="B8" s="9" t="inlineStr">
        <is>
          <t>28.02.2025</t>
        </is>
      </c>
      <c r="C8" s="9" t="inlineStr">
        <is>
          <t>1.1</t>
        </is>
      </c>
      <c r="D8" s="9" t="inlineStr">
        <is>
          <t>Prosjektstyring</t>
        </is>
      </c>
      <c r="E8" s="22" t="n">
        <v>0.06</v>
      </c>
      <c r="F8" s="11" t="n">
        <v>0.6</v>
      </c>
      <c r="G8" s="11" t="n">
        <v>0.6</v>
      </c>
    </row>
    <row r="9">
      <c r="A9" s="10" t="n">
        <v>1</v>
      </c>
      <c r="B9" s="9" t="inlineStr">
        <is>
          <t>28.02.2025</t>
        </is>
      </c>
      <c r="C9" s="9" t="inlineStr">
        <is>
          <t>1.2</t>
        </is>
      </c>
      <c r="D9" s="9" t="inlineStr">
        <is>
          <t>Kontraktsoppfølging</t>
        </is>
      </c>
      <c r="E9" s="22" t="n">
        <v>0.07000000000000001</v>
      </c>
      <c r="F9" s="11" t="n">
        <v>0.5</v>
      </c>
      <c r="G9" s="11" t="n">
        <v>0.5</v>
      </c>
    </row>
    <row r="10">
      <c r="A10" s="10" t="n">
        <v>1</v>
      </c>
      <c r="B10" s="9" t="inlineStr">
        <is>
          <t>28.02.2025</t>
        </is>
      </c>
      <c r="C10" s="9" t="inlineStr">
        <is>
          <t>1.3</t>
        </is>
      </c>
      <c r="D10" s="9" t="inlineStr">
        <is>
          <t>Interessenthåndtering</t>
        </is>
      </c>
      <c r="E10" s="22" t="n">
        <v>0.06</v>
      </c>
      <c r="F10" s="11" t="n">
        <v>0.3</v>
      </c>
      <c r="G10" s="11" t="n">
        <v>0.3</v>
      </c>
    </row>
    <row r="11">
      <c r="A11" s="10" t="n">
        <v>1</v>
      </c>
      <c r="B11" s="9" t="inlineStr">
        <is>
          <t>28.02.2025</t>
        </is>
      </c>
      <c r="C11" s="9" t="inlineStr">
        <is>
          <t>1.4</t>
        </is>
      </c>
      <c r="D11" s="9" t="inlineStr">
        <is>
          <t>Risiko- og Kvalitetsstyring</t>
        </is>
      </c>
      <c r="E11" s="22" t="n">
        <v>0.06</v>
      </c>
      <c r="F11" s="11" t="n">
        <v>0.2</v>
      </c>
      <c r="G11" s="11" t="n">
        <v>0.2</v>
      </c>
    </row>
    <row r="13">
      <c r="A13" s="10" t="n">
        <v>2</v>
      </c>
      <c r="B13" s="9" t="inlineStr">
        <is>
          <t>31.03.2025</t>
        </is>
      </c>
      <c r="C13" s="9" t="inlineStr">
        <is>
          <t>2.1</t>
        </is>
      </c>
      <c r="D13" s="9" t="inlineStr">
        <is>
          <t>Detaljprosjektering</t>
        </is>
      </c>
      <c r="E13" s="22" t="n">
        <v>0.64</v>
      </c>
      <c r="F13" s="11" t="n">
        <v>17</v>
      </c>
      <c r="G13" s="11" t="n">
        <v>31.8</v>
      </c>
    </row>
    <row r="14">
      <c r="A14" s="10" t="n">
        <v>2</v>
      </c>
      <c r="B14" s="9" t="inlineStr">
        <is>
          <t>31.03.2025</t>
        </is>
      </c>
      <c r="C14" s="9" t="inlineStr">
        <is>
          <t>2.2</t>
        </is>
      </c>
      <c r="D14" s="9" t="inlineStr">
        <is>
          <t>Offentlige Godkjenninger</t>
        </is>
      </c>
      <c r="E14" s="22" t="n">
        <v>0.76</v>
      </c>
      <c r="F14" s="11" t="n">
        <v>4.9</v>
      </c>
      <c r="G14" s="11" t="n">
        <v>9.199999999999999</v>
      </c>
    </row>
    <row r="15">
      <c r="A15" s="10" t="n">
        <v>2</v>
      </c>
      <c r="B15" s="9" t="inlineStr">
        <is>
          <t>31.03.2025</t>
        </is>
      </c>
      <c r="C15" s="9" t="inlineStr">
        <is>
          <t>2.3</t>
        </is>
      </c>
      <c r="D15" s="9" t="inlineStr">
        <is>
          <t>Konkurransegrunnlag</t>
        </is>
      </c>
      <c r="E15" s="22" t="n">
        <v>0.97</v>
      </c>
      <c r="F15" s="11" t="n">
        <v>4.1</v>
      </c>
      <c r="G15" s="11" t="n">
        <v>7.699999999999999</v>
      </c>
    </row>
    <row r="16">
      <c r="A16" s="10" t="n">
        <v>2</v>
      </c>
      <c r="B16" s="9" t="inlineStr">
        <is>
          <t>31.03.2025</t>
        </is>
      </c>
      <c r="C16" s="9" t="inlineStr">
        <is>
          <t>1.1</t>
        </is>
      </c>
      <c r="D16" s="9" t="inlineStr">
        <is>
          <t>Prosjektstyring</t>
        </is>
      </c>
      <c r="E16" s="22" t="n">
        <v>0.12</v>
      </c>
      <c r="F16" s="11" t="n">
        <v>0.7</v>
      </c>
      <c r="G16" s="11" t="n">
        <v>1.3</v>
      </c>
    </row>
    <row r="17">
      <c r="A17" s="10" t="n">
        <v>2</v>
      </c>
      <c r="B17" s="9" t="inlineStr">
        <is>
          <t>31.03.2025</t>
        </is>
      </c>
      <c r="C17" s="9" t="inlineStr">
        <is>
          <t>1.2</t>
        </is>
      </c>
      <c r="D17" s="9" t="inlineStr">
        <is>
          <t>Kontraktsoppfølging</t>
        </is>
      </c>
      <c r="E17" s="22" t="n">
        <v>0.15</v>
      </c>
      <c r="F17" s="11" t="n">
        <v>0.5</v>
      </c>
      <c r="G17" s="11" t="n">
        <v>1</v>
      </c>
    </row>
    <row r="18">
      <c r="A18" s="10" t="n">
        <v>2</v>
      </c>
      <c r="B18" s="9" t="inlineStr">
        <is>
          <t>31.03.2025</t>
        </is>
      </c>
      <c r="C18" s="9" t="inlineStr">
        <is>
          <t>1.3</t>
        </is>
      </c>
      <c r="D18" s="9" t="inlineStr">
        <is>
          <t>Interessenthåndtering</t>
        </is>
      </c>
      <c r="E18" s="22" t="n">
        <v>0.14</v>
      </c>
      <c r="F18" s="11" t="n">
        <v>0.3</v>
      </c>
      <c r="G18" s="11" t="n">
        <v>0.6</v>
      </c>
    </row>
    <row r="19">
      <c r="A19" s="10" t="n">
        <v>2</v>
      </c>
      <c r="B19" s="9" t="inlineStr">
        <is>
          <t>31.03.2025</t>
        </is>
      </c>
      <c r="C19" s="9" t="inlineStr">
        <is>
          <t>1.4</t>
        </is>
      </c>
      <c r="D19" s="9" t="inlineStr">
        <is>
          <t>Risiko- og Kvalitetsstyring</t>
        </is>
      </c>
      <c r="E19" s="22" t="n">
        <v>0.13</v>
      </c>
      <c r="F19" s="11" t="n">
        <v>0.3</v>
      </c>
      <c r="G19" s="11" t="n">
        <v>0.5</v>
      </c>
    </row>
    <row r="21">
      <c r="A21" s="10" t="n">
        <v>3</v>
      </c>
      <c r="B21" s="9" t="inlineStr">
        <is>
          <t>30.04.2025</t>
        </is>
      </c>
      <c r="C21" s="9" t="inlineStr">
        <is>
          <t>2.1</t>
        </is>
      </c>
      <c r="D21" s="9" t="inlineStr">
        <is>
          <t>Detaljprosjektering</t>
        </is>
      </c>
      <c r="E21" s="22" t="n">
        <v>0.97</v>
      </c>
      <c r="F21" s="11" t="n">
        <v>16.5</v>
      </c>
      <c r="G21" s="11" t="n">
        <v>48.3</v>
      </c>
    </row>
    <row r="22">
      <c r="A22" s="10" t="n">
        <v>3</v>
      </c>
      <c r="B22" s="9" t="inlineStr">
        <is>
          <t>30.04.2025</t>
        </is>
      </c>
      <c r="C22" s="9" t="inlineStr">
        <is>
          <t>2.2</t>
        </is>
      </c>
      <c r="D22" s="9" t="inlineStr">
        <is>
          <t>Offentlige Godkjenninger</t>
        </is>
      </c>
      <c r="E22" s="22" t="n">
        <v>1</v>
      </c>
      <c r="F22" s="11" t="n">
        <v>2.8</v>
      </c>
      <c r="G22" s="11" t="n">
        <v>12</v>
      </c>
    </row>
    <row r="23">
      <c r="A23" s="10" t="n">
        <v>3</v>
      </c>
      <c r="B23" s="9" t="inlineStr">
        <is>
          <t>30.04.2025</t>
        </is>
      </c>
      <c r="C23" s="9" t="inlineStr">
        <is>
          <t>2.3</t>
        </is>
      </c>
      <c r="D23" s="9" t="inlineStr">
        <is>
          <t>Konkurransegrunnlag</t>
        </is>
      </c>
      <c r="E23" s="22" t="n">
        <v>1</v>
      </c>
      <c r="F23" s="11" t="n">
        <v>0.3</v>
      </c>
      <c r="G23" s="11" t="n">
        <v>7.999999999999999</v>
      </c>
    </row>
    <row r="24">
      <c r="A24" s="10" t="n">
        <v>3</v>
      </c>
      <c r="B24" s="9" t="inlineStr">
        <is>
          <t>30.04.2025</t>
        </is>
      </c>
      <c r="C24" s="9" t="inlineStr">
        <is>
          <t>1.1</t>
        </is>
      </c>
      <c r="D24" s="9" t="inlineStr">
        <is>
          <t>Prosjektstyring</t>
        </is>
      </c>
      <c r="E24" s="22" t="n">
        <v>0.19</v>
      </c>
      <c r="F24" s="11" t="n">
        <v>0.6</v>
      </c>
      <c r="G24" s="11" t="n">
        <v>1.9</v>
      </c>
    </row>
    <row r="25">
      <c r="A25" s="10" t="n">
        <v>3</v>
      </c>
      <c r="B25" s="9" t="inlineStr">
        <is>
          <t>30.04.2025</t>
        </is>
      </c>
      <c r="C25" s="9" t="inlineStr">
        <is>
          <t>1.2</t>
        </is>
      </c>
      <c r="D25" s="9" t="inlineStr">
        <is>
          <t>Kontraktsoppfølging</t>
        </is>
      </c>
      <c r="E25" s="22" t="n">
        <v>0.22</v>
      </c>
      <c r="F25" s="11" t="n">
        <v>0.5</v>
      </c>
      <c r="G25" s="11" t="n">
        <v>1.5</v>
      </c>
    </row>
    <row r="26">
      <c r="A26" s="10" t="n">
        <v>3</v>
      </c>
      <c r="B26" s="9" t="inlineStr">
        <is>
          <t>30.04.2025</t>
        </is>
      </c>
      <c r="C26" s="9" t="inlineStr">
        <is>
          <t>1.3</t>
        </is>
      </c>
      <c r="D26" s="9" t="inlineStr">
        <is>
          <t>Interessenthåndtering</t>
        </is>
      </c>
      <c r="E26" s="22" t="n">
        <v>0.21</v>
      </c>
      <c r="F26" s="11" t="n">
        <v>0.3</v>
      </c>
      <c r="G26" s="11" t="n">
        <v>0.8999999999999999</v>
      </c>
    </row>
    <row r="27">
      <c r="A27" s="10" t="n">
        <v>3</v>
      </c>
      <c r="B27" s="9" t="inlineStr">
        <is>
          <t>30.04.2025</t>
        </is>
      </c>
      <c r="C27" s="9" t="inlineStr">
        <is>
          <t>1.4</t>
        </is>
      </c>
      <c r="D27" s="9" t="inlineStr">
        <is>
          <t>Risiko- og Kvalitetsstyring</t>
        </is>
      </c>
      <c r="E27" s="22" t="n">
        <v>0.2</v>
      </c>
      <c r="F27" s="11" t="n">
        <v>0.3</v>
      </c>
      <c r="G27" s="11" t="n">
        <v>0.8</v>
      </c>
    </row>
    <row r="29">
      <c r="A29" s="10" t="n">
        <v>4</v>
      </c>
      <c r="B29" s="9" t="inlineStr">
        <is>
          <t>31.05.2025</t>
        </is>
      </c>
      <c r="C29" s="9" t="inlineStr">
        <is>
          <t>3.1</t>
        </is>
      </c>
      <c r="D29" s="9" t="inlineStr">
        <is>
          <t>Miljøsanering</t>
        </is>
      </c>
      <c r="E29" s="22" t="n">
        <v>1</v>
      </c>
      <c r="F29" s="11" t="n">
        <v>12</v>
      </c>
      <c r="G29" s="11" t="n">
        <v>12</v>
      </c>
    </row>
    <row r="30">
      <c r="A30" s="10" t="n">
        <v>4</v>
      </c>
      <c r="B30" s="9" t="inlineStr">
        <is>
          <t>31.05.2025</t>
        </is>
      </c>
      <c r="C30" s="9" t="inlineStr">
        <is>
          <t>3.2</t>
        </is>
      </c>
      <c r="D30" s="9" t="inlineStr">
        <is>
          <t>Riving</t>
        </is>
      </c>
      <c r="E30" s="22" t="n">
        <v>0.43</v>
      </c>
      <c r="F30" s="11" t="n">
        <v>7.8</v>
      </c>
      <c r="G30" s="11" t="n">
        <v>7.8</v>
      </c>
    </row>
    <row r="31">
      <c r="A31" s="10" t="n">
        <v>4</v>
      </c>
      <c r="B31" s="9" t="inlineStr">
        <is>
          <t>31.05.2025</t>
        </is>
      </c>
      <c r="C31" s="9" t="inlineStr">
        <is>
          <t>2.1</t>
        </is>
      </c>
      <c r="D31" s="9" t="inlineStr">
        <is>
          <t>Detaljprosjektering</t>
        </is>
      </c>
      <c r="E31" s="22" t="n">
        <v>1</v>
      </c>
      <c r="F31" s="11" t="n">
        <v>1.6</v>
      </c>
      <c r="G31" s="11" t="n">
        <v>49.9</v>
      </c>
    </row>
    <row r="32">
      <c r="A32" s="10" t="n">
        <v>4</v>
      </c>
      <c r="B32" s="9" t="inlineStr">
        <is>
          <t>31.05.2025</t>
        </is>
      </c>
      <c r="C32" s="9" t="inlineStr">
        <is>
          <t>1.1</t>
        </is>
      </c>
      <c r="D32" s="9" t="inlineStr">
        <is>
          <t>Prosjektstyring</t>
        </is>
      </c>
      <c r="E32" s="22" t="n">
        <v>0.25</v>
      </c>
      <c r="F32" s="11" t="n">
        <v>0.7</v>
      </c>
      <c r="G32" s="11" t="n">
        <v>2.6</v>
      </c>
    </row>
    <row r="33">
      <c r="A33" s="10" t="n">
        <v>4</v>
      </c>
      <c r="B33" s="9" t="inlineStr">
        <is>
          <t>31.05.2025</t>
        </is>
      </c>
      <c r="C33" s="9" t="inlineStr">
        <is>
          <t>1.2</t>
        </is>
      </c>
      <c r="D33" s="9" t="inlineStr">
        <is>
          <t>Kontraktsoppfølging</t>
        </is>
      </c>
      <c r="E33" s="22" t="n">
        <v>0.3</v>
      </c>
      <c r="F33" s="11" t="n">
        <v>0.5</v>
      </c>
      <c r="G33" s="11" t="n">
        <v>2</v>
      </c>
    </row>
    <row r="34">
      <c r="A34" s="10" t="n">
        <v>4</v>
      </c>
      <c r="B34" s="9" t="inlineStr">
        <is>
          <t>31.05.2025</t>
        </is>
      </c>
      <c r="C34" s="9" t="inlineStr">
        <is>
          <t>1.3</t>
        </is>
      </c>
      <c r="D34" s="9" t="inlineStr">
        <is>
          <t>Interessenthåndtering</t>
        </is>
      </c>
      <c r="E34" s="22" t="n">
        <v>0.28</v>
      </c>
      <c r="F34" s="11" t="n">
        <v>0.3</v>
      </c>
      <c r="G34" s="11" t="n">
        <v>1.2</v>
      </c>
    </row>
    <row r="35">
      <c r="A35" s="10" t="n">
        <v>4</v>
      </c>
      <c r="B35" s="9" t="inlineStr">
        <is>
          <t>31.05.2025</t>
        </is>
      </c>
      <c r="C35" s="9" t="inlineStr">
        <is>
          <t>1.4</t>
        </is>
      </c>
      <c r="D35" s="9" t="inlineStr">
        <is>
          <t>Risiko- og Kvalitetsstyring</t>
        </is>
      </c>
      <c r="E35" s="22" t="n">
        <v>0.27</v>
      </c>
      <c r="F35" s="11" t="n">
        <v>0.3</v>
      </c>
      <c r="G35" s="11" t="n">
        <v>1.1</v>
      </c>
    </row>
    <row r="37">
      <c r="A37" s="10" t="n">
        <v>5</v>
      </c>
      <c r="B37" s="9" t="inlineStr">
        <is>
          <t>30.06.2025</t>
        </is>
      </c>
      <c r="C37" s="9" t="inlineStr">
        <is>
          <t>3.3</t>
        </is>
      </c>
      <c r="D37" s="9" t="inlineStr">
        <is>
          <t>Grunnarbeid</t>
        </is>
      </c>
      <c r="E37" s="22" t="n">
        <v>0.29</v>
      </c>
      <c r="F37" s="11" t="n">
        <v>11.6</v>
      </c>
      <c r="G37" s="11" t="n">
        <v>11.6</v>
      </c>
    </row>
    <row r="38">
      <c r="A38" s="10" t="n">
        <v>5</v>
      </c>
      <c r="B38" s="9" t="inlineStr">
        <is>
          <t>30.06.2025</t>
        </is>
      </c>
      <c r="C38" s="9" t="inlineStr">
        <is>
          <t>3.2</t>
        </is>
      </c>
      <c r="D38" s="9" t="inlineStr">
        <is>
          <t>Riving</t>
        </is>
      </c>
      <c r="E38" s="22" t="n">
        <v>1</v>
      </c>
      <c r="F38" s="11" t="n">
        <v>10.2</v>
      </c>
      <c r="G38" s="11" t="n">
        <v>18</v>
      </c>
    </row>
    <row r="39">
      <c r="A39" s="10" t="n">
        <v>5</v>
      </c>
      <c r="B39" s="9" t="inlineStr">
        <is>
          <t>30.06.2025</t>
        </is>
      </c>
      <c r="C39" s="9" t="inlineStr">
        <is>
          <t>1.1</t>
        </is>
      </c>
      <c r="D39" s="9" t="inlineStr">
        <is>
          <t>Prosjektstyring</t>
        </is>
      </c>
      <c r="E39" s="22" t="n">
        <v>0.32</v>
      </c>
      <c r="F39" s="11" t="n">
        <v>0.6</v>
      </c>
      <c r="G39" s="11" t="n">
        <v>3.2</v>
      </c>
    </row>
    <row r="40">
      <c r="A40" s="10" t="n">
        <v>5</v>
      </c>
      <c r="B40" s="9" t="inlineStr">
        <is>
          <t>30.06.2025</t>
        </is>
      </c>
      <c r="C40" s="9" t="inlineStr">
        <is>
          <t>1.2</t>
        </is>
      </c>
      <c r="D40" s="9" t="inlineStr">
        <is>
          <t>Kontraktsoppfølging</t>
        </is>
      </c>
      <c r="E40" s="22" t="n">
        <v>0.38</v>
      </c>
      <c r="F40" s="11" t="n">
        <v>0.5</v>
      </c>
      <c r="G40" s="11" t="n">
        <v>2.5</v>
      </c>
    </row>
    <row r="41">
      <c r="A41" s="10" t="n">
        <v>5</v>
      </c>
      <c r="B41" s="9" t="inlineStr">
        <is>
          <t>30.06.2025</t>
        </is>
      </c>
      <c r="C41" s="9" t="inlineStr">
        <is>
          <t>1.3</t>
        </is>
      </c>
      <c r="D41" s="9" t="inlineStr">
        <is>
          <t>Interessenthåndtering</t>
        </is>
      </c>
      <c r="E41" s="22" t="n">
        <v>0.35</v>
      </c>
      <c r="F41" s="11" t="n">
        <v>0.3</v>
      </c>
      <c r="G41" s="11" t="n">
        <v>1.5</v>
      </c>
    </row>
    <row r="42">
      <c r="A42" s="10" t="n">
        <v>5</v>
      </c>
      <c r="B42" s="9" t="inlineStr">
        <is>
          <t>30.06.2025</t>
        </is>
      </c>
      <c r="C42" s="9" t="inlineStr">
        <is>
          <t>1.4</t>
        </is>
      </c>
      <c r="D42" s="9" t="inlineStr">
        <is>
          <t>Risiko- og Kvalitetsstyring</t>
        </is>
      </c>
      <c r="E42" s="22" t="n">
        <v>0.34</v>
      </c>
      <c r="F42" s="11" t="n">
        <v>0.3</v>
      </c>
      <c r="G42" s="11" t="n">
        <v>1.4</v>
      </c>
    </row>
    <row r="44">
      <c r="A44" s="10" t="n">
        <v>6</v>
      </c>
      <c r="B44" s="9" t="inlineStr">
        <is>
          <t>31.07.2025</t>
        </is>
      </c>
      <c r="C44" s="9" t="inlineStr">
        <is>
          <t>3.3</t>
        </is>
      </c>
      <c r="D44" s="9" t="inlineStr">
        <is>
          <t>Grunnarbeid</t>
        </is>
      </c>
      <c r="E44" s="22" t="n">
        <v>0.98</v>
      </c>
      <c r="F44" s="11" t="n">
        <v>27.6</v>
      </c>
      <c r="G44" s="11" t="n">
        <v>39.2</v>
      </c>
    </row>
    <row r="45">
      <c r="A45" s="10" t="n">
        <v>6</v>
      </c>
      <c r="B45" s="9" t="inlineStr">
        <is>
          <t>31.07.2025</t>
        </is>
      </c>
      <c r="C45" s="9" t="inlineStr">
        <is>
          <t>1.1</t>
        </is>
      </c>
      <c r="D45" s="9" t="inlineStr">
        <is>
          <t>Prosjektstyring</t>
        </is>
      </c>
      <c r="E45" s="22" t="n">
        <v>0.38</v>
      </c>
      <c r="F45" s="11" t="n">
        <v>0.7</v>
      </c>
      <c r="G45" s="11" t="n">
        <v>3.899999999999999</v>
      </c>
    </row>
    <row r="46">
      <c r="A46" s="10" t="n">
        <v>6</v>
      </c>
      <c r="B46" s="9" t="inlineStr">
        <is>
          <t>31.07.2025</t>
        </is>
      </c>
      <c r="C46" s="9" t="inlineStr">
        <is>
          <t>1.2</t>
        </is>
      </c>
      <c r="D46" s="9" t="inlineStr">
        <is>
          <t>Kontraktsoppfølging</t>
        </is>
      </c>
      <c r="E46" s="22" t="n">
        <v>0.46</v>
      </c>
      <c r="F46" s="11" t="n">
        <v>0.5</v>
      </c>
      <c r="G46" s="11" t="n">
        <v>3</v>
      </c>
    </row>
    <row r="47">
      <c r="A47" s="10" t="n">
        <v>6</v>
      </c>
      <c r="B47" s="9" t="inlineStr">
        <is>
          <t>31.07.2025</t>
        </is>
      </c>
      <c r="C47" s="9" t="inlineStr">
        <is>
          <t>1.3</t>
        </is>
      </c>
      <c r="D47" s="9" t="inlineStr">
        <is>
          <t>Interessenthåndtering</t>
        </is>
      </c>
      <c r="E47" s="22" t="n">
        <v>0.42</v>
      </c>
      <c r="F47" s="11" t="n">
        <v>0.3</v>
      </c>
      <c r="G47" s="11" t="n">
        <v>1.8</v>
      </c>
    </row>
    <row r="48">
      <c r="A48" s="10" t="n">
        <v>6</v>
      </c>
      <c r="B48" s="9" t="inlineStr">
        <is>
          <t>31.07.2025</t>
        </is>
      </c>
      <c r="C48" s="9" t="inlineStr">
        <is>
          <t>1.4</t>
        </is>
      </c>
      <c r="D48" s="9" t="inlineStr">
        <is>
          <t>Risiko- og Kvalitetsstyring</t>
        </is>
      </c>
      <c r="E48" s="22" t="n">
        <v>0.41</v>
      </c>
      <c r="F48" s="11" t="n">
        <v>0.3</v>
      </c>
      <c r="G48" s="11" t="n">
        <v>1.7</v>
      </c>
    </row>
    <row r="50">
      <c r="A50" s="10" t="n">
        <v>7</v>
      </c>
      <c r="B50" s="9" t="inlineStr">
        <is>
          <t>31.08.2025</t>
        </is>
      </c>
      <c r="C50" s="9" t="inlineStr">
        <is>
          <t>4.1</t>
        </is>
      </c>
      <c r="D50" s="9" t="inlineStr">
        <is>
          <t>Råbygg</t>
        </is>
      </c>
      <c r="E50" s="22" t="n">
        <v>0.2</v>
      </c>
      <c r="F50" s="11" t="n">
        <v>47.4</v>
      </c>
      <c r="G50" s="11" t="n">
        <v>47.4</v>
      </c>
    </row>
    <row r="51">
      <c r="A51" s="10" t="n">
        <v>7</v>
      </c>
      <c r="B51" s="9" t="inlineStr">
        <is>
          <t>31.08.2025</t>
        </is>
      </c>
      <c r="C51" s="9" t="inlineStr">
        <is>
          <t>6.1</t>
        </is>
      </c>
      <c r="D51" s="9" t="inlineStr">
        <is>
          <t>Lekearealer</t>
        </is>
      </c>
      <c r="E51" s="22" t="n">
        <v>0.67</v>
      </c>
      <c r="F51" s="11" t="n">
        <v>4.7</v>
      </c>
      <c r="G51" s="11" t="n">
        <v>4.7</v>
      </c>
    </row>
    <row r="52">
      <c r="A52" s="10" t="n">
        <v>7</v>
      </c>
      <c r="B52" s="9" t="inlineStr">
        <is>
          <t>31.08.2025</t>
        </is>
      </c>
      <c r="C52" s="9" t="inlineStr">
        <is>
          <t>6.2</t>
        </is>
      </c>
      <c r="D52" s="9" t="inlineStr">
        <is>
          <t>Sport og Fritid</t>
        </is>
      </c>
      <c r="E52" s="22" t="n">
        <v>0.67</v>
      </c>
      <c r="F52" s="11" t="n">
        <v>4</v>
      </c>
      <c r="G52" s="11" t="n">
        <v>4</v>
      </c>
    </row>
    <row r="53">
      <c r="A53" s="10" t="n">
        <v>7</v>
      </c>
      <c r="B53" s="9" t="inlineStr">
        <is>
          <t>31.08.2025</t>
        </is>
      </c>
      <c r="C53" s="9" t="inlineStr">
        <is>
          <t>6.3</t>
        </is>
      </c>
      <c r="D53" s="9" t="inlineStr">
        <is>
          <t>Infrastruktur</t>
        </is>
      </c>
      <c r="E53" s="22" t="n">
        <v>0.5</v>
      </c>
      <c r="F53" s="11" t="n">
        <v>4</v>
      </c>
      <c r="G53" s="11" t="n">
        <v>4</v>
      </c>
    </row>
    <row r="54">
      <c r="A54" s="10" t="n">
        <v>7</v>
      </c>
      <c r="B54" s="9" t="inlineStr">
        <is>
          <t>31.08.2025</t>
        </is>
      </c>
      <c r="C54" s="9" t="inlineStr">
        <is>
          <t>6.4</t>
        </is>
      </c>
      <c r="D54" s="9" t="inlineStr">
        <is>
          <t>Grøntanlegg</t>
        </is>
      </c>
      <c r="E54" s="22" t="n">
        <v>1</v>
      </c>
      <c r="F54" s="11" t="n">
        <v>4</v>
      </c>
      <c r="G54" s="11" t="n">
        <v>4</v>
      </c>
    </row>
    <row r="55">
      <c r="A55" s="10" t="n">
        <v>7</v>
      </c>
      <c r="B55" s="9" t="inlineStr">
        <is>
          <t>31.08.2025</t>
        </is>
      </c>
      <c r="C55" s="9" t="inlineStr">
        <is>
          <t>3.3</t>
        </is>
      </c>
      <c r="D55" s="9" t="inlineStr">
        <is>
          <t>Grunnarbeid</t>
        </is>
      </c>
      <c r="E55" s="22" t="n">
        <v>1</v>
      </c>
      <c r="F55" s="11" t="n">
        <v>0.9</v>
      </c>
      <c r="G55" s="11" t="n">
        <v>40.1</v>
      </c>
    </row>
    <row r="56">
      <c r="A56" s="10" t="n">
        <v>7</v>
      </c>
      <c r="B56" s="9" t="inlineStr">
        <is>
          <t>31.08.2025</t>
        </is>
      </c>
      <c r="C56" s="9" t="inlineStr">
        <is>
          <t>1.1</t>
        </is>
      </c>
      <c r="D56" s="9" t="inlineStr">
        <is>
          <t>Prosjektstyring</t>
        </is>
      </c>
      <c r="E56" s="22" t="n">
        <v>0.45</v>
      </c>
      <c r="F56" s="11" t="n">
        <v>0.7</v>
      </c>
      <c r="G56" s="11" t="n">
        <v>4.6</v>
      </c>
    </row>
    <row r="57">
      <c r="A57" s="10" t="n">
        <v>7</v>
      </c>
      <c r="B57" s="9" t="inlineStr">
        <is>
          <t>31.08.2025</t>
        </is>
      </c>
      <c r="C57" s="9" t="inlineStr">
        <is>
          <t>1.2</t>
        </is>
      </c>
      <c r="D57" s="9" t="inlineStr">
        <is>
          <t>Kontraktsoppfølging</t>
        </is>
      </c>
      <c r="E57" s="22" t="n">
        <v>0.53</v>
      </c>
      <c r="F57" s="11" t="n">
        <v>0.5</v>
      </c>
      <c r="G57" s="11" t="n">
        <v>3.5</v>
      </c>
    </row>
    <row r="58">
      <c r="A58" s="14" t="n">
        <v>7</v>
      </c>
      <c r="B58" s="13" t="inlineStr">
        <is>
          <t>31.08.2025</t>
        </is>
      </c>
      <c r="C58" s="13" t="inlineStr">
        <is>
          <t>—</t>
        </is>
      </c>
      <c r="D58" s="13" t="inlineStr">
        <is>
          <t>Øvrige aktive pakker (samlet)</t>
        </is>
      </c>
      <c r="E58" s="13" t="inlineStr"/>
      <c r="F58" s="15" t="n">
        <v>0.6</v>
      </c>
      <c r="G58" s="13" t="inlineStr">
        <is>
          <t>—</t>
        </is>
      </c>
    </row>
    <row r="60">
      <c r="A60" s="10" t="n">
        <v>8</v>
      </c>
      <c r="B60" s="9" t="inlineStr">
        <is>
          <t>30.09.2025</t>
        </is>
      </c>
      <c r="C60" s="9" t="inlineStr">
        <is>
          <t>4.1</t>
        </is>
      </c>
      <c r="D60" s="9" t="inlineStr">
        <is>
          <t>Råbygg</t>
        </is>
      </c>
      <c r="E60" s="22" t="n">
        <v>0.39</v>
      </c>
      <c r="F60" s="11" t="n">
        <v>47.4</v>
      </c>
      <c r="G60" s="11" t="n">
        <v>94.8</v>
      </c>
    </row>
    <row r="61">
      <c r="A61" s="10" t="n">
        <v>8</v>
      </c>
      <c r="B61" s="9" t="inlineStr">
        <is>
          <t>30.09.2025</t>
        </is>
      </c>
      <c r="C61" s="9" t="inlineStr">
        <is>
          <t>6.3</t>
        </is>
      </c>
      <c r="D61" s="9" t="inlineStr">
        <is>
          <t>Infrastruktur</t>
        </is>
      </c>
      <c r="E61" s="22" t="n">
        <v>1</v>
      </c>
      <c r="F61" s="11" t="n">
        <v>4</v>
      </c>
      <c r="G61" s="11" t="n">
        <v>8</v>
      </c>
    </row>
    <row r="62">
      <c r="A62" s="10" t="n">
        <v>8</v>
      </c>
      <c r="B62" s="9" t="inlineStr">
        <is>
          <t>30.09.2025</t>
        </is>
      </c>
      <c r="C62" s="9" t="inlineStr">
        <is>
          <t>6.1</t>
        </is>
      </c>
      <c r="D62" s="9" t="inlineStr">
        <is>
          <t>Lekearealer</t>
        </is>
      </c>
      <c r="E62" s="22" t="n">
        <v>1</v>
      </c>
      <c r="F62" s="11" t="n">
        <v>2.3</v>
      </c>
      <c r="G62" s="11" t="n">
        <v>7</v>
      </c>
    </row>
    <row r="63">
      <c r="A63" s="10" t="n">
        <v>8</v>
      </c>
      <c r="B63" s="9" t="inlineStr">
        <is>
          <t>30.09.2025</t>
        </is>
      </c>
      <c r="C63" s="9" t="inlineStr">
        <is>
          <t>6.2</t>
        </is>
      </c>
      <c r="D63" s="9" t="inlineStr">
        <is>
          <t>Sport og Fritid</t>
        </is>
      </c>
      <c r="E63" s="22" t="n">
        <v>1</v>
      </c>
      <c r="F63" s="11" t="n">
        <v>2</v>
      </c>
      <c r="G63" s="11" t="n">
        <v>6</v>
      </c>
    </row>
    <row r="64">
      <c r="A64" s="10" t="n">
        <v>8</v>
      </c>
      <c r="B64" s="9" t="inlineStr">
        <is>
          <t>30.09.2025</t>
        </is>
      </c>
      <c r="C64" s="9" t="inlineStr">
        <is>
          <t>1.1</t>
        </is>
      </c>
      <c r="D64" s="9" t="inlineStr">
        <is>
          <t>Prosjektstyring</t>
        </is>
      </c>
      <c r="E64" s="22" t="n">
        <v>0.51</v>
      </c>
      <c r="F64" s="11" t="n">
        <v>0.6</v>
      </c>
      <c r="G64" s="11" t="n">
        <v>5.199999999999999</v>
      </c>
    </row>
    <row r="65">
      <c r="A65" s="10" t="n">
        <v>8</v>
      </c>
      <c r="B65" s="9" t="inlineStr">
        <is>
          <t>30.09.2025</t>
        </is>
      </c>
      <c r="C65" s="9" t="inlineStr">
        <is>
          <t>1.2</t>
        </is>
      </c>
      <c r="D65" s="9" t="inlineStr">
        <is>
          <t>Kontraktsoppfølging</t>
        </is>
      </c>
      <c r="E65" s="22" t="n">
        <v>0.61</v>
      </c>
      <c r="F65" s="11" t="n">
        <v>0.5</v>
      </c>
      <c r="G65" s="11" t="n">
        <v>4</v>
      </c>
    </row>
    <row r="66">
      <c r="A66" s="10" t="n">
        <v>8</v>
      </c>
      <c r="B66" s="9" t="inlineStr">
        <is>
          <t>30.09.2025</t>
        </is>
      </c>
      <c r="C66" s="9" t="inlineStr">
        <is>
          <t>1.3</t>
        </is>
      </c>
      <c r="D66" s="9" t="inlineStr">
        <is>
          <t>Interessenthåndtering</t>
        </is>
      </c>
      <c r="E66" s="22" t="n">
        <v>0.57</v>
      </c>
      <c r="F66" s="11" t="n">
        <v>0.3</v>
      </c>
      <c r="G66" s="11" t="n">
        <v>2.1</v>
      </c>
    </row>
    <row r="67">
      <c r="A67" s="10" t="n">
        <v>8</v>
      </c>
      <c r="B67" s="9" t="inlineStr">
        <is>
          <t>30.09.2025</t>
        </is>
      </c>
      <c r="C67" s="9" t="inlineStr">
        <is>
          <t>1.4</t>
        </is>
      </c>
      <c r="D67" s="9" t="inlineStr">
        <is>
          <t>Risiko- og Kvalitetsstyring</t>
        </is>
      </c>
      <c r="E67" s="22" t="n">
        <v>0.55</v>
      </c>
      <c r="F67" s="11" t="n">
        <v>0.3</v>
      </c>
      <c r="G67" s="11" t="n">
        <v>2</v>
      </c>
    </row>
    <row r="69">
      <c r="A69" s="10" t="n">
        <v>9</v>
      </c>
      <c r="B69" s="9" t="inlineStr">
        <is>
          <t>31.10.2025</t>
        </is>
      </c>
      <c r="C69" s="9" t="inlineStr">
        <is>
          <t>4.1</t>
        </is>
      </c>
      <c r="D69" s="9" t="inlineStr">
        <is>
          <t>Råbygg</t>
        </is>
      </c>
      <c r="E69" s="22" t="n">
        <v>0.6</v>
      </c>
      <c r="F69" s="11" t="n">
        <v>48.9</v>
      </c>
      <c r="G69" s="11" t="n">
        <v>143.7</v>
      </c>
    </row>
    <row r="70">
      <c r="A70" s="10" t="n">
        <v>9</v>
      </c>
      <c r="B70" s="9" t="inlineStr">
        <is>
          <t>31.10.2025</t>
        </is>
      </c>
      <c r="C70" s="9" t="inlineStr">
        <is>
          <t>1.1</t>
        </is>
      </c>
      <c r="D70" s="9" t="inlineStr">
        <is>
          <t>Prosjektstyring</t>
        </is>
      </c>
      <c r="E70" s="22" t="n">
        <v>0.58</v>
      </c>
      <c r="F70" s="11" t="n">
        <v>0.7</v>
      </c>
      <c r="G70" s="11" t="n">
        <v>5.899999999999999</v>
      </c>
    </row>
    <row r="71">
      <c r="A71" s="10" t="n">
        <v>9</v>
      </c>
      <c r="B71" s="9" t="inlineStr">
        <is>
          <t>31.10.2025</t>
        </is>
      </c>
      <c r="C71" s="9" t="inlineStr">
        <is>
          <t>1.2</t>
        </is>
      </c>
      <c r="D71" s="9" t="inlineStr">
        <is>
          <t>Kontraktsoppfølging</t>
        </is>
      </c>
      <c r="E71" s="22" t="n">
        <v>0.6899999999999999</v>
      </c>
      <c r="F71" s="11" t="n">
        <v>0.5</v>
      </c>
      <c r="G71" s="11" t="n">
        <v>4.5</v>
      </c>
    </row>
    <row r="72">
      <c r="A72" s="10" t="n">
        <v>9</v>
      </c>
      <c r="B72" s="9" t="inlineStr">
        <is>
          <t>31.10.2025</t>
        </is>
      </c>
      <c r="C72" s="9" t="inlineStr">
        <is>
          <t>1.3</t>
        </is>
      </c>
      <c r="D72" s="9" t="inlineStr">
        <is>
          <t>Interessenthåndtering</t>
        </is>
      </c>
      <c r="E72" s="22" t="n">
        <v>0.64</v>
      </c>
      <c r="F72" s="11" t="n">
        <v>0.3</v>
      </c>
      <c r="G72" s="11" t="n">
        <v>2.4</v>
      </c>
    </row>
    <row r="73">
      <c r="A73" s="10" t="n">
        <v>9</v>
      </c>
      <c r="B73" s="9" t="inlineStr">
        <is>
          <t>31.10.2025</t>
        </is>
      </c>
      <c r="C73" s="9" t="inlineStr">
        <is>
          <t>1.4</t>
        </is>
      </c>
      <c r="D73" s="9" t="inlineStr">
        <is>
          <t>Risiko- og Kvalitetsstyring</t>
        </is>
      </c>
      <c r="E73" s="22" t="n">
        <v>0.62</v>
      </c>
      <c r="F73" s="11" t="n">
        <v>0.3</v>
      </c>
      <c r="G73" s="11" t="n">
        <v>2.3</v>
      </c>
    </row>
    <row r="75">
      <c r="A75" s="10" t="n">
        <v>10</v>
      </c>
      <c r="B75" s="9" t="inlineStr">
        <is>
          <t>30.11.2025</t>
        </is>
      </c>
      <c r="C75" s="9" t="inlineStr">
        <is>
          <t>4.1</t>
        </is>
      </c>
      <c r="D75" s="9" t="inlineStr">
        <is>
          <t>Råbygg</t>
        </is>
      </c>
      <c r="E75" s="22" t="n">
        <v>0.8</v>
      </c>
      <c r="F75" s="11" t="n">
        <v>47.4</v>
      </c>
      <c r="G75" s="11" t="n">
        <v>191.1</v>
      </c>
    </row>
    <row r="76">
      <c r="A76" s="10" t="n">
        <v>10</v>
      </c>
      <c r="B76" s="9" t="inlineStr">
        <is>
          <t>30.11.2025</t>
        </is>
      </c>
      <c r="C76" s="9" t="inlineStr">
        <is>
          <t>1.1</t>
        </is>
      </c>
      <c r="D76" s="9" t="inlineStr">
        <is>
          <t>Prosjektstyring</t>
        </is>
      </c>
      <c r="E76" s="22" t="n">
        <v>0.64</v>
      </c>
      <c r="F76" s="11" t="n">
        <v>0.6</v>
      </c>
      <c r="G76" s="11" t="n">
        <v>6.499999999999999</v>
      </c>
    </row>
    <row r="77">
      <c r="A77" s="10" t="n">
        <v>10</v>
      </c>
      <c r="B77" s="9" t="inlineStr">
        <is>
          <t>30.11.2025</t>
        </is>
      </c>
      <c r="C77" s="9" t="inlineStr">
        <is>
          <t>1.2</t>
        </is>
      </c>
      <c r="D77" s="9" t="inlineStr">
        <is>
          <t>Kontraktsoppfølging</t>
        </is>
      </c>
      <c r="E77" s="22" t="n">
        <v>0.76</v>
      </c>
      <c r="F77" s="11" t="n">
        <v>0.5</v>
      </c>
      <c r="G77" s="11" t="n">
        <v>5</v>
      </c>
    </row>
    <row r="78">
      <c r="A78" s="10" t="n">
        <v>10</v>
      </c>
      <c r="B78" s="9" t="inlineStr">
        <is>
          <t>30.11.2025</t>
        </is>
      </c>
      <c r="C78" s="9" t="inlineStr">
        <is>
          <t>1.3</t>
        </is>
      </c>
      <c r="D78" s="9" t="inlineStr">
        <is>
          <t>Interessenthåndtering</t>
        </is>
      </c>
      <c r="E78" s="22" t="n">
        <v>0.71</v>
      </c>
      <c r="F78" s="11" t="n">
        <v>0.3</v>
      </c>
      <c r="G78" s="11" t="n">
        <v>2.7</v>
      </c>
    </row>
    <row r="79">
      <c r="A79" s="10" t="n">
        <v>10</v>
      </c>
      <c r="B79" s="9" t="inlineStr">
        <is>
          <t>30.11.2025</t>
        </is>
      </c>
      <c r="C79" s="9" t="inlineStr">
        <is>
          <t>1.4</t>
        </is>
      </c>
      <c r="D79" s="9" t="inlineStr">
        <is>
          <t>Risiko- og Kvalitetsstyring</t>
        </is>
      </c>
      <c r="E79" s="22" t="n">
        <v>0.68</v>
      </c>
      <c r="F79" s="11" t="n">
        <v>0.3</v>
      </c>
      <c r="G79" s="11" t="n">
        <v>2.6</v>
      </c>
    </row>
    <row r="81">
      <c r="A81" s="10" t="n">
        <v>11</v>
      </c>
      <c r="B81" s="9" t="inlineStr">
        <is>
          <t>31.12.2025</t>
        </is>
      </c>
      <c r="C81" s="9" t="inlineStr">
        <is>
          <t>4.1</t>
        </is>
      </c>
      <c r="D81" s="9" t="inlineStr">
        <is>
          <t>Råbygg</t>
        </is>
      </c>
      <c r="E81" s="22" t="n">
        <v>1</v>
      </c>
      <c r="F81" s="11" t="n">
        <v>48.9</v>
      </c>
      <c r="G81" s="11" t="n">
        <v>240</v>
      </c>
    </row>
    <row r="82">
      <c r="A82" s="10" t="n">
        <v>11</v>
      </c>
      <c r="B82" s="9" t="inlineStr">
        <is>
          <t>31.12.2025</t>
        </is>
      </c>
      <c r="C82" s="9" t="inlineStr">
        <is>
          <t>1.1</t>
        </is>
      </c>
      <c r="D82" s="9" t="inlineStr">
        <is>
          <t>Prosjektstyring</t>
        </is>
      </c>
      <c r="E82" s="22" t="n">
        <v>0.71</v>
      </c>
      <c r="F82" s="11" t="n">
        <v>0.7</v>
      </c>
      <c r="G82" s="11" t="n">
        <v>7.199999999999999</v>
      </c>
    </row>
    <row r="83">
      <c r="A83" s="10" t="n">
        <v>11</v>
      </c>
      <c r="B83" s="9" t="inlineStr">
        <is>
          <t>31.12.2025</t>
        </is>
      </c>
      <c r="C83" s="9" t="inlineStr">
        <is>
          <t>1.2</t>
        </is>
      </c>
      <c r="D83" s="9" t="inlineStr">
        <is>
          <t>Kontraktsoppfølging</t>
        </is>
      </c>
      <c r="E83" s="22" t="n">
        <v>0.84</v>
      </c>
      <c r="F83" s="11" t="n">
        <v>0.5</v>
      </c>
      <c r="G83" s="11" t="n">
        <v>5.5</v>
      </c>
    </row>
    <row r="84">
      <c r="A84" s="10" t="n">
        <v>11</v>
      </c>
      <c r="B84" s="9" t="inlineStr">
        <is>
          <t>31.12.2025</t>
        </is>
      </c>
      <c r="C84" s="9" t="inlineStr">
        <is>
          <t>1.3</t>
        </is>
      </c>
      <c r="D84" s="9" t="inlineStr">
        <is>
          <t>Interessenthåndtering</t>
        </is>
      </c>
      <c r="E84" s="22" t="n">
        <v>0.78</v>
      </c>
      <c r="F84" s="11" t="n">
        <v>0.3</v>
      </c>
      <c r="G84" s="11" t="n">
        <v>3</v>
      </c>
    </row>
    <row r="85">
      <c r="A85" s="10" t="n">
        <v>11</v>
      </c>
      <c r="B85" s="9" t="inlineStr">
        <is>
          <t>31.12.2025</t>
        </is>
      </c>
      <c r="C85" s="9" t="inlineStr">
        <is>
          <t>1.4</t>
        </is>
      </c>
      <c r="D85" s="9" t="inlineStr">
        <is>
          <t>Risiko- og Kvalitetsstyring</t>
        </is>
      </c>
      <c r="E85" s="22" t="n">
        <v>0.76</v>
      </c>
      <c r="F85" s="11" t="n">
        <v>0.3</v>
      </c>
      <c r="G85" s="11" t="n">
        <v>2.899999999999999</v>
      </c>
    </row>
    <row r="86">
      <c r="A86" s="10" t="n">
        <v>11</v>
      </c>
      <c r="B86" s="9" t="inlineStr">
        <is>
          <t>31.12.2025</t>
        </is>
      </c>
      <c r="C86" s="9" t="inlineStr">
        <is>
          <t>4.2</t>
        </is>
      </c>
      <c r="D86" s="9" t="inlineStr">
        <is>
          <t>Innvendig Komplettering – 1. Etasje</t>
        </is>
      </c>
      <c r="E86" s="22" t="n">
        <v>0</v>
      </c>
      <c r="F86" s="11" t="n">
        <v>0</v>
      </c>
      <c r="G86" s="11" t="n">
        <v>0</v>
      </c>
    </row>
    <row r="87">
      <c r="A87" s="10" t="n">
        <v>11</v>
      </c>
      <c r="B87" s="9" t="inlineStr">
        <is>
          <t>31.12.2025</t>
        </is>
      </c>
      <c r="C87" s="9" t="inlineStr">
        <is>
          <t>4.3</t>
        </is>
      </c>
      <c r="D87" s="9" t="inlineStr">
        <is>
          <t>Innvendig Komplettering – 2. Etasje</t>
        </is>
      </c>
      <c r="E87" s="22" t="n">
        <v>0</v>
      </c>
      <c r="F87" s="11" t="n">
        <v>0</v>
      </c>
      <c r="G87" s="11" t="n">
        <v>0</v>
      </c>
    </row>
    <row r="88">
      <c r="A88" s="10" t="n">
        <v>11</v>
      </c>
      <c r="B88" s="9" t="inlineStr">
        <is>
          <t>31.12.2025</t>
        </is>
      </c>
      <c r="C88" s="9" t="inlineStr">
        <is>
          <t>4.4</t>
        </is>
      </c>
      <c r="D88" s="9" t="inlineStr">
        <is>
          <t>Innvendig Komplettering – 3. Etasje</t>
        </is>
      </c>
      <c r="E88" s="22" t="n">
        <v>0</v>
      </c>
      <c r="F88" s="11" t="n">
        <v>0</v>
      </c>
      <c r="G88" s="11" t="n">
        <v>0</v>
      </c>
    </row>
    <row r="89">
      <c r="A89" s="14" t="n">
        <v>11</v>
      </c>
      <c r="B89" s="13" t="inlineStr">
        <is>
          <t>31.12.2025</t>
        </is>
      </c>
      <c r="C89" s="13" t="inlineStr">
        <is>
          <t>—</t>
        </is>
      </c>
      <c r="D89" s="13" t="inlineStr">
        <is>
          <t>Øvrige aktive pakker (samlet)</t>
        </is>
      </c>
      <c r="E89" s="13" t="inlineStr"/>
      <c r="F89" s="15" t="n">
        <v>0</v>
      </c>
      <c r="G89" s="13" t="inlineStr">
        <is>
          <t>—</t>
        </is>
      </c>
    </row>
    <row r="91">
      <c r="A91" s="10" t="n">
        <v>12</v>
      </c>
      <c r="B91" s="9" t="inlineStr">
        <is>
          <t>31.01.2026</t>
        </is>
      </c>
      <c r="C91" s="9" t="inlineStr">
        <is>
          <t>5.1</t>
        </is>
      </c>
      <c r="D91" s="9" t="inlineStr">
        <is>
          <t>VVS</t>
        </is>
      </c>
      <c r="E91" s="22" t="n">
        <v>0.34</v>
      </c>
      <c r="F91" s="11" t="n">
        <v>18.7</v>
      </c>
      <c r="G91" s="11" t="n">
        <v>18.7</v>
      </c>
    </row>
    <row r="92">
      <c r="A92" s="10" t="n">
        <v>12</v>
      </c>
      <c r="B92" s="9" t="inlineStr">
        <is>
          <t>31.01.2026</t>
        </is>
      </c>
      <c r="C92" s="9" t="inlineStr">
        <is>
          <t>5.2</t>
        </is>
      </c>
      <c r="D92" s="9" t="inlineStr">
        <is>
          <t>Elektro</t>
        </is>
      </c>
      <c r="E92" s="22" t="n">
        <v>0.34</v>
      </c>
      <c r="F92" s="11" t="n">
        <v>15.3</v>
      </c>
      <c r="G92" s="11" t="n">
        <v>15.3</v>
      </c>
    </row>
    <row r="93">
      <c r="A93" s="10" t="n">
        <v>12</v>
      </c>
      <c r="B93" s="9" t="inlineStr">
        <is>
          <t>31.01.2026</t>
        </is>
      </c>
      <c r="C93" s="9" t="inlineStr">
        <is>
          <t>4.2</t>
        </is>
      </c>
      <c r="D93" s="9" t="inlineStr">
        <is>
          <t>Innvendig Komplettering – 1. Etasje</t>
        </is>
      </c>
      <c r="E93" s="22" t="n">
        <v>0.41</v>
      </c>
      <c r="F93" s="11" t="n">
        <v>14.3</v>
      </c>
      <c r="G93" s="11" t="n">
        <v>14.3</v>
      </c>
    </row>
    <row r="94">
      <c r="A94" s="10" t="n">
        <v>12</v>
      </c>
      <c r="B94" s="9" t="inlineStr">
        <is>
          <t>31.01.2026</t>
        </is>
      </c>
      <c r="C94" s="9" t="inlineStr">
        <is>
          <t>4.3</t>
        </is>
      </c>
      <c r="D94" s="9" t="inlineStr">
        <is>
          <t>Innvendig Komplettering – 2. Etasje</t>
        </is>
      </c>
      <c r="E94" s="22" t="n">
        <v>0.41</v>
      </c>
      <c r="F94" s="11" t="n">
        <v>14.3</v>
      </c>
      <c r="G94" s="11" t="n">
        <v>14.3</v>
      </c>
    </row>
    <row r="95">
      <c r="A95" s="10" t="n">
        <v>12</v>
      </c>
      <c r="B95" s="9" t="inlineStr">
        <is>
          <t>31.01.2026</t>
        </is>
      </c>
      <c r="C95" s="9" t="inlineStr">
        <is>
          <t>4.4</t>
        </is>
      </c>
      <c r="D95" s="9" t="inlineStr">
        <is>
          <t>Innvendig Komplettering – 3. Etasje</t>
        </is>
      </c>
      <c r="E95" s="22" t="n">
        <v>0.41</v>
      </c>
      <c r="F95" s="11" t="n">
        <v>14.3</v>
      </c>
      <c r="G95" s="11" t="n">
        <v>14.3</v>
      </c>
    </row>
    <row r="96">
      <c r="A96" s="10" t="n">
        <v>12</v>
      </c>
      <c r="B96" s="9" t="inlineStr">
        <is>
          <t>31.01.2026</t>
        </is>
      </c>
      <c r="C96" s="9" t="inlineStr">
        <is>
          <t>5.5</t>
        </is>
      </c>
      <c r="D96" s="9" t="inlineStr">
        <is>
          <t>IKT og Sikkerhet</t>
        </is>
      </c>
      <c r="E96" s="22" t="n">
        <v>0.52</v>
      </c>
      <c r="F96" s="11" t="n">
        <v>12.9</v>
      </c>
      <c r="G96" s="11" t="n">
        <v>12.9</v>
      </c>
    </row>
    <row r="97">
      <c r="A97" s="10" t="n">
        <v>12</v>
      </c>
      <c r="B97" s="9" t="inlineStr">
        <is>
          <t>31.01.2026</t>
        </is>
      </c>
      <c r="C97" s="9" t="inlineStr">
        <is>
          <t>4.5</t>
        </is>
      </c>
      <c r="D97" s="9" t="inlineStr">
        <is>
          <t>Gymsal</t>
        </is>
      </c>
      <c r="E97" s="22" t="n">
        <v>0.6899999999999999</v>
      </c>
      <c r="F97" s="11" t="n">
        <v>10.3</v>
      </c>
      <c r="G97" s="11" t="n">
        <v>10.3</v>
      </c>
    </row>
    <row r="98">
      <c r="A98" s="10" t="n">
        <v>12</v>
      </c>
      <c r="B98" s="9" t="inlineStr">
        <is>
          <t>31.01.2026</t>
        </is>
      </c>
      <c r="C98" s="9" t="inlineStr">
        <is>
          <t>5.4</t>
        </is>
      </c>
      <c r="D98" s="9" t="inlineStr">
        <is>
          <t>Automasjon (SD-anlegg)</t>
        </is>
      </c>
      <c r="E98" s="22" t="n">
        <v>0.6899999999999999</v>
      </c>
      <c r="F98" s="11" t="n">
        <v>9</v>
      </c>
      <c r="G98" s="11" t="n">
        <v>9</v>
      </c>
    </row>
    <row r="99">
      <c r="A99" s="14" t="n">
        <v>12</v>
      </c>
      <c r="B99" s="13" t="inlineStr">
        <is>
          <t>31.01.2026</t>
        </is>
      </c>
      <c r="C99" s="13" t="inlineStr">
        <is>
          <t>—</t>
        </is>
      </c>
      <c r="D99" s="13" t="inlineStr">
        <is>
          <t>Øvrige aktive pakker (samlet)</t>
        </is>
      </c>
      <c r="E99" s="13" t="inlineStr"/>
      <c r="F99" s="15" t="n">
        <v>10</v>
      </c>
      <c r="G99" s="13" t="inlineStr">
        <is>
          <t>—</t>
        </is>
      </c>
    </row>
    <row r="101">
      <c r="A101" s="10" t="n">
        <v>13</v>
      </c>
      <c r="B101" s="9" t="inlineStr">
        <is>
          <t>28.02.2026</t>
        </is>
      </c>
      <c r="C101" s="9" t="inlineStr">
        <is>
          <t>5.1</t>
        </is>
      </c>
      <c r="D101" s="9" t="inlineStr">
        <is>
          <t>VVS</t>
        </is>
      </c>
      <c r="E101" s="22" t="n">
        <v>0.65</v>
      </c>
      <c r="F101" s="11" t="n">
        <v>16.9</v>
      </c>
      <c r="G101" s="11" t="n">
        <v>35.59999999999999</v>
      </c>
    </row>
    <row r="102">
      <c r="A102" s="10" t="n">
        <v>13</v>
      </c>
      <c r="B102" s="9" t="inlineStr">
        <is>
          <t>28.02.2026</t>
        </is>
      </c>
      <c r="C102" s="9" t="inlineStr">
        <is>
          <t>5.2</t>
        </is>
      </c>
      <c r="D102" s="9" t="inlineStr">
        <is>
          <t>Elektro</t>
        </is>
      </c>
      <c r="E102" s="22" t="n">
        <v>0.65</v>
      </c>
      <c r="F102" s="11" t="n">
        <v>13.8</v>
      </c>
      <c r="G102" s="11" t="n">
        <v>29.1</v>
      </c>
    </row>
    <row r="103">
      <c r="A103" s="10" t="n">
        <v>13</v>
      </c>
      <c r="B103" s="9" t="inlineStr">
        <is>
          <t>28.02.2026</t>
        </is>
      </c>
      <c r="C103" s="9" t="inlineStr">
        <is>
          <t>4.2</t>
        </is>
      </c>
      <c r="D103" s="9" t="inlineStr">
        <is>
          <t>Innvendig Komplettering – 1. Etasje</t>
        </is>
      </c>
      <c r="E103" s="22" t="n">
        <v>0.78</v>
      </c>
      <c r="F103" s="11" t="n">
        <v>12.9</v>
      </c>
      <c r="G103" s="11" t="n">
        <v>27.2</v>
      </c>
    </row>
    <row r="104">
      <c r="A104" s="10" t="n">
        <v>13</v>
      </c>
      <c r="B104" s="9" t="inlineStr">
        <is>
          <t>28.02.2026</t>
        </is>
      </c>
      <c r="C104" s="9" t="inlineStr">
        <is>
          <t>4.3</t>
        </is>
      </c>
      <c r="D104" s="9" t="inlineStr">
        <is>
          <t>Innvendig Komplettering – 2. Etasje</t>
        </is>
      </c>
      <c r="E104" s="22" t="n">
        <v>0.78</v>
      </c>
      <c r="F104" s="11" t="n">
        <v>12.9</v>
      </c>
      <c r="G104" s="11" t="n">
        <v>27.2</v>
      </c>
    </row>
    <row r="105">
      <c r="A105" s="10" t="n">
        <v>13</v>
      </c>
      <c r="B105" s="9" t="inlineStr">
        <is>
          <t>28.02.2026</t>
        </is>
      </c>
      <c r="C105" s="9" t="inlineStr">
        <is>
          <t>4.4</t>
        </is>
      </c>
      <c r="D105" s="9" t="inlineStr">
        <is>
          <t>Innvendig Komplettering – 3. Etasje</t>
        </is>
      </c>
      <c r="E105" s="22" t="n">
        <v>0.78</v>
      </c>
      <c r="F105" s="11" t="n">
        <v>12.9</v>
      </c>
      <c r="G105" s="11" t="n">
        <v>27.2</v>
      </c>
    </row>
    <row r="106">
      <c r="A106" s="10" t="n">
        <v>13</v>
      </c>
      <c r="B106" s="9" t="inlineStr">
        <is>
          <t>28.02.2026</t>
        </is>
      </c>
      <c r="C106" s="9" t="inlineStr">
        <is>
          <t>5.5</t>
        </is>
      </c>
      <c r="D106" s="9" t="inlineStr">
        <is>
          <t>IKT og Sikkerhet</t>
        </is>
      </c>
      <c r="E106" s="22" t="n">
        <v>0.98</v>
      </c>
      <c r="F106" s="11" t="n">
        <v>11.7</v>
      </c>
      <c r="G106" s="11" t="n">
        <v>24.6</v>
      </c>
    </row>
    <row r="107">
      <c r="A107" s="10" t="n">
        <v>13</v>
      </c>
      <c r="B107" s="9" t="inlineStr">
        <is>
          <t>28.02.2026</t>
        </is>
      </c>
      <c r="C107" s="9" t="inlineStr">
        <is>
          <t>4.5</t>
        </is>
      </c>
      <c r="D107" s="9" t="inlineStr">
        <is>
          <t>Gymsal</t>
        </is>
      </c>
      <c r="E107" s="22" t="n">
        <v>1</v>
      </c>
      <c r="F107" s="11" t="n">
        <v>4.7</v>
      </c>
      <c r="G107" s="11" t="n">
        <v>15</v>
      </c>
    </row>
    <row r="108">
      <c r="A108" s="10" t="n">
        <v>13</v>
      </c>
      <c r="B108" s="9" t="inlineStr">
        <is>
          <t>28.02.2026</t>
        </is>
      </c>
      <c r="C108" s="9" t="inlineStr">
        <is>
          <t>5.4</t>
        </is>
      </c>
      <c r="D108" s="9" t="inlineStr">
        <is>
          <t>Automasjon (SD-anlegg)</t>
        </is>
      </c>
      <c r="E108" s="22" t="n">
        <v>1</v>
      </c>
      <c r="F108" s="11" t="n">
        <v>4</v>
      </c>
      <c r="G108" s="11" t="n">
        <v>13</v>
      </c>
    </row>
    <row r="109">
      <c r="A109" s="14" t="n">
        <v>13</v>
      </c>
      <c r="B109" s="13" t="inlineStr">
        <is>
          <t>28.02.2026</t>
        </is>
      </c>
      <c r="C109" s="13" t="inlineStr">
        <is>
          <t>—</t>
        </is>
      </c>
      <c r="D109" s="13" t="inlineStr">
        <is>
          <t>Øvrige aktive pakker (samlet)</t>
        </is>
      </c>
      <c r="E109" s="13" t="inlineStr"/>
      <c r="F109" s="15" t="n">
        <v>5.3</v>
      </c>
      <c r="G109" s="13" t="inlineStr">
        <is>
          <t>—</t>
        </is>
      </c>
    </row>
    <row r="111">
      <c r="A111" s="10" t="n">
        <v>14</v>
      </c>
      <c r="B111" s="9" t="inlineStr">
        <is>
          <t>31.03.2026</t>
        </is>
      </c>
      <c r="C111" s="9" t="inlineStr">
        <is>
          <t>7.1</t>
        </is>
      </c>
      <c r="D111" s="9" t="inlineStr">
        <is>
          <t>Løst Inventar</t>
        </is>
      </c>
      <c r="E111" s="22" t="n">
        <v>0.93</v>
      </c>
      <c r="F111" s="11" t="n">
        <v>28</v>
      </c>
      <c r="G111" s="11" t="n">
        <v>28</v>
      </c>
    </row>
    <row r="112">
      <c r="A112" s="10" t="n">
        <v>14</v>
      </c>
      <c r="B112" s="9" t="inlineStr">
        <is>
          <t>31.03.2026</t>
        </is>
      </c>
      <c r="C112" s="9" t="inlineStr">
        <is>
          <t>7.2</t>
        </is>
      </c>
      <c r="D112" s="9" t="inlineStr">
        <is>
          <t>Spesialutstyr</t>
        </is>
      </c>
      <c r="E112" s="22" t="n">
        <v>0.93</v>
      </c>
      <c r="F112" s="11" t="n">
        <v>23.3</v>
      </c>
      <c r="G112" s="11" t="n">
        <v>23.3</v>
      </c>
    </row>
    <row r="113">
      <c r="A113" s="10" t="n">
        <v>14</v>
      </c>
      <c r="B113" s="9" t="inlineStr">
        <is>
          <t>31.03.2026</t>
        </is>
      </c>
      <c r="C113" s="9" t="inlineStr">
        <is>
          <t>5.1</t>
        </is>
      </c>
      <c r="D113" s="9" t="inlineStr">
        <is>
          <t>VVS</t>
        </is>
      </c>
      <c r="E113" s="22" t="n">
        <v>0.99</v>
      </c>
      <c r="F113" s="11" t="n">
        <v>18.7</v>
      </c>
      <c r="G113" s="11" t="n">
        <v>54.3</v>
      </c>
    </row>
    <row r="114">
      <c r="A114" s="10" t="n">
        <v>14</v>
      </c>
      <c r="B114" s="9" t="inlineStr">
        <is>
          <t>31.03.2026</t>
        </is>
      </c>
      <c r="C114" s="9" t="inlineStr">
        <is>
          <t>5.2</t>
        </is>
      </c>
      <c r="D114" s="9" t="inlineStr">
        <is>
          <t>Elektro</t>
        </is>
      </c>
      <c r="E114" s="22" t="n">
        <v>0.99</v>
      </c>
      <c r="F114" s="11" t="n">
        <v>15.3</v>
      </c>
      <c r="G114" s="11" t="n">
        <v>44.40000000000001</v>
      </c>
    </row>
    <row r="115">
      <c r="A115" s="10" t="n">
        <v>14</v>
      </c>
      <c r="B115" s="9" t="inlineStr">
        <is>
          <t>31.03.2026</t>
        </is>
      </c>
      <c r="C115" s="9" t="inlineStr">
        <is>
          <t>7.3</t>
        </is>
      </c>
      <c r="D115" s="9" t="inlineStr">
        <is>
          <t>AV-løsninger</t>
        </is>
      </c>
      <c r="E115" s="22" t="n">
        <v>0.93</v>
      </c>
      <c r="F115" s="11" t="n">
        <v>14</v>
      </c>
      <c r="G115" s="11" t="n">
        <v>14</v>
      </c>
    </row>
    <row r="116">
      <c r="A116" s="10" t="n">
        <v>14</v>
      </c>
      <c r="B116" s="9" t="inlineStr">
        <is>
          <t>31.03.2026</t>
        </is>
      </c>
      <c r="C116" s="9" t="inlineStr">
        <is>
          <t>4.2</t>
        </is>
      </c>
      <c r="D116" s="9" t="inlineStr">
        <is>
          <t>Innvendig Komplettering – 1. Etasje</t>
        </is>
      </c>
      <c r="E116" s="22" t="n">
        <v>1</v>
      </c>
      <c r="F116" s="11" t="n">
        <v>7.8</v>
      </c>
      <c r="G116" s="11" t="n">
        <v>35</v>
      </c>
    </row>
    <row r="117">
      <c r="A117" s="10" t="n">
        <v>14</v>
      </c>
      <c r="B117" s="9" t="inlineStr">
        <is>
          <t>31.03.2026</t>
        </is>
      </c>
      <c r="C117" s="9" t="inlineStr">
        <is>
          <t>4.3</t>
        </is>
      </c>
      <c r="D117" s="9" t="inlineStr">
        <is>
          <t>Innvendig Komplettering – 2. Etasje</t>
        </is>
      </c>
      <c r="E117" s="22" t="n">
        <v>1</v>
      </c>
      <c r="F117" s="11" t="n">
        <v>7.8</v>
      </c>
      <c r="G117" s="11" t="n">
        <v>35</v>
      </c>
    </row>
    <row r="118">
      <c r="A118" s="10" t="n">
        <v>14</v>
      </c>
      <c r="B118" s="9" t="inlineStr">
        <is>
          <t>31.03.2026</t>
        </is>
      </c>
      <c r="C118" s="9" t="inlineStr">
        <is>
          <t>4.4</t>
        </is>
      </c>
      <c r="D118" s="9" t="inlineStr">
        <is>
          <t>Innvendig Komplettering – 3. Etasje</t>
        </is>
      </c>
      <c r="E118" s="22" t="n">
        <v>1</v>
      </c>
      <c r="F118" s="11" t="n">
        <v>7.8</v>
      </c>
      <c r="G118" s="11" t="n">
        <v>35</v>
      </c>
    </row>
    <row r="119">
      <c r="A119" s="14" t="n">
        <v>14</v>
      </c>
      <c r="B119" s="13" t="inlineStr">
        <is>
          <t>31.03.2026</t>
        </is>
      </c>
      <c r="C119" s="13" t="inlineStr">
        <is>
          <t>—</t>
        </is>
      </c>
      <c r="D119" s="13" t="inlineStr">
        <is>
          <t>Øvrige aktive pakker (samlet)</t>
        </is>
      </c>
      <c r="E119" s="13" t="inlineStr"/>
      <c r="F119" s="15" t="n">
        <v>1.7</v>
      </c>
      <c r="G119" s="13" t="inlineStr">
        <is>
          <t>—</t>
        </is>
      </c>
    </row>
    <row r="121">
      <c r="A121" s="10" t="n">
        <v>15</v>
      </c>
      <c r="B121" s="9" t="inlineStr">
        <is>
          <t>30.04.2026</t>
        </is>
      </c>
      <c r="C121" s="9" t="inlineStr">
        <is>
          <t>8.1</t>
        </is>
      </c>
      <c r="D121" s="9" t="inlineStr">
        <is>
          <t>Testing og Prøvedrift</t>
        </is>
      </c>
      <c r="E121" s="22" t="n">
        <v>1</v>
      </c>
      <c r="F121" s="11" t="n">
        <v>10</v>
      </c>
      <c r="G121" s="11" t="n">
        <v>10</v>
      </c>
    </row>
    <row r="122">
      <c r="A122" s="10" t="n">
        <v>15</v>
      </c>
      <c r="B122" s="9" t="inlineStr">
        <is>
          <t>30.04.2026</t>
        </is>
      </c>
      <c r="C122" s="9" t="inlineStr">
        <is>
          <t>8.2</t>
        </is>
      </c>
      <c r="D122" s="9" t="inlineStr">
        <is>
          <t>Ferdigbefaring (BP3)</t>
        </is>
      </c>
      <c r="E122" s="22" t="n">
        <v>0.93</v>
      </c>
      <c r="F122" s="11" t="n">
        <v>7.5</v>
      </c>
      <c r="G122" s="11" t="n">
        <v>7.5</v>
      </c>
    </row>
    <row r="123">
      <c r="A123" s="10" t="n">
        <v>15</v>
      </c>
      <c r="B123" s="9" t="inlineStr">
        <is>
          <t>30.04.2026</t>
        </is>
      </c>
      <c r="C123" s="9" t="inlineStr">
        <is>
          <t>8.3</t>
        </is>
      </c>
      <c r="D123" s="9" t="inlineStr">
        <is>
          <t>Dokumentasjon</t>
        </is>
      </c>
      <c r="E123" s="22" t="n">
        <v>0.93</v>
      </c>
      <c r="F123" s="11" t="n">
        <v>4.7</v>
      </c>
      <c r="G123" s="11" t="n">
        <v>4.7</v>
      </c>
    </row>
    <row r="124">
      <c r="A124" s="10" t="n">
        <v>15</v>
      </c>
      <c r="B124" s="9" t="inlineStr">
        <is>
          <t>30.04.2026</t>
        </is>
      </c>
      <c r="C124" s="9" t="inlineStr">
        <is>
          <t>7.1</t>
        </is>
      </c>
      <c r="D124" s="9" t="inlineStr">
        <is>
          <t>Løst Inventar</t>
        </is>
      </c>
      <c r="E124" s="22" t="n">
        <v>1</v>
      </c>
      <c r="F124" s="11" t="n">
        <v>2</v>
      </c>
      <c r="G124" s="11" t="n">
        <v>30</v>
      </c>
    </row>
    <row r="125">
      <c r="A125" s="10" t="n">
        <v>15</v>
      </c>
      <c r="B125" s="9" t="inlineStr">
        <is>
          <t>30.04.2026</t>
        </is>
      </c>
      <c r="C125" s="9" t="inlineStr">
        <is>
          <t>7.2</t>
        </is>
      </c>
      <c r="D125" s="9" t="inlineStr">
        <is>
          <t>Spesialutstyr</t>
        </is>
      </c>
      <c r="E125" s="22" t="n">
        <v>1</v>
      </c>
      <c r="F125" s="11" t="n">
        <v>1.7</v>
      </c>
      <c r="G125" s="11" t="n">
        <v>25</v>
      </c>
    </row>
    <row r="126">
      <c r="A126" s="10" t="n">
        <v>15</v>
      </c>
      <c r="B126" s="9" t="inlineStr">
        <is>
          <t>30.04.2026</t>
        </is>
      </c>
      <c r="C126" s="9" t="inlineStr">
        <is>
          <t>7.3</t>
        </is>
      </c>
      <c r="D126" s="9" t="inlineStr">
        <is>
          <t>AV-løsninger</t>
        </is>
      </c>
      <c r="E126" s="22" t="n">
        <v>1</v>
      </c>
      <c r="F126" s="11" t="n">
        <v>1</v>
      </c>
      <c r="G126" s="11" t="n">
        <v>15</v>
      </c>
    </row>
    <row r="127">
      <c r="A127" s="10" t="n">
        <v>15</v>
      </c>
      <c r="B127" s="9" t="inlineStr">
        <is>
          <t>30.04.2026</t>
        </is>
      </c>
      <c r="C127" s="9" t="inlineStr">
        <is>
          <t>1.1</t>
        </is>
      </c>
      <c r="D127" s="9" t="inlineStr">
        <is>
          <t>Prosjektstyring</t>
        </is>
      </c>
      <c r="E127" s="22" t="n">
        <v>0.96</v>
      </c>
      <c r="F127" s="11" t="n">
        <v>0.6</v>
      </c>
      <c r="G127" s="11" t="n">
        <v>7.799999999999999</v>
      </c>
    </row>
    <row r="128">
      <c r="A128" s="10" t="n">
        <v>15</v>
      </c>
      <c r="B128" s="9" t="inlineStr">
        <is>
          <t>30.04.2026</t>
        </is>
      </c>
      <c r="C128" s="9" t="inlineStr">
        <is>
          <t>5.1</t>
        </is>
      </c>
      <c r="D128" s="9" t="inlineStr">
        <is>
          <t>VVS</t>
        </is>
      </c>
      <c r="E128" s="22" t="n">
        <v>1</v>
      </c>
      <c r="F128" s="11" t="n">
        <v>0.6</v>
      </c>
      <c r="G128" s="11" t="n">
        <v>54.9</v>
      </c>
    </row>
    <row r="129">
      <c r="A129" s="14" t="n">
        <v>15</v>
      </c>
      <c r="B129" s="13" t="inlineStr">
        <is>
          <t>30.04.2026</t>
        </is>
      </c>
      <c r="C129" s="13" t="inlineStr">
        <is>
          <t>—</t>
        </is>
      </c>
      <c r="D129" s="13" t="inlineStr">
        <is>
          <t>Øvrige aktive pakker (samlet)</t>
        </is>
      </c>
      <c r="E129" s="13" t="inlineStr"/>
      <c r="F129" s="15" t="n">
        <v>0.7</v>
      </c>
      <c r="G129" s="13" t="inlineStr">
        <is>
          <t>—</t>
        </is>
      </c>
    </row>
    <row r="131">
      <c r="A131" s="10" t="n">
        <v>16</v>
      </c>
      <c r="B131" s="9" t="inlineStr">
        <is>
          <t>31.05.2026</t>
        </is>
      </c>
      <c r="C131" s="9" t="inlineStr">
        <is>
          <t>8.4</t>
        </is>
      </c>
      <c r="D131" s="9" t="inlineStr">
        <is>
          <t>Brukeropplæring</t>
        </is>
      </c>
      <c r="E131" s="22" t="n">
        <v>1</v>
      </c>
      <c r="F131" s="11" t="n">
        <v>4</v>
      </c>
      <c r="G131" s="11" t="n">
        <v>4</v>
      </c>
    </row>
    <row r="132">
      <c r="A132" s="10" t="n">
        <v>16</v>
      </c>
      <c r="B132" s="9" t="inlineStr">
        <is>
          <t>31.05.2026</t>
        </is>
      </c>
      <c r="C132" s="9" t="inlineStr">
        <is>
          <t>8.5</t>
        </is>
      </c>
      <c r="D132" s="9" t="inlineStr">
        <is>
          <t>Prosjektevaluering</t>
        </is>
      </c>
      <c r="E132" s="22" t="n">
        <v>1</v>
      </c>
      <c r="F132" s="11" t="n">
        <v>3</v>
      </c>
      <c r="G132" s="11" t="n">
        <v>3</v>
      </c>
    </row>
    <row r="133">
      <c r="A133" s="10" t="n">
        <v>16</v>
      </c>
      <c r="B133" s="9" t="inlineStr">
        <is>
          <t>31.05.2026</t>
        </is>
      </c>
      <c r="C133" s="9" t="inlineStr">
        <is>
          <t>8.2</t>
        </is>
      </c>
      <c r="D133" s="9" t="inlineStr">
        <is>
          <t>Ferdigbefaring (BP3)</t>
        </is>
      </c>
      <c r="E133" s="22" t="n">
        <v>1</v>
      </c>
      <c r="F133" s="11" t="n">
        <v>0.5</v>
      </c>
      <c r="G133" s="11" t="n">
        <v>8</v>
      </c>
    </row>
    <row r="134">
      <c r="A134" s="10" t="n">
        <v>16</v>
      </c>
      <c r="B134" s="9" t="inlineStr">
        <is>
          <t>31.05.2026</t>
        </is>
      </c>
      <c r="C134" s="9" t="inlineStr">
        <is>
          <t>1.1</t>
        </is>
      </c>
      <c r="D134" s="9" t="inlineStr">
        <is>
          <t>Prosjektstyring</t>
        </is>
      </c>
      <c r="E134" s="22" t="n">
        <v>1</v>
      </c>
      <c r="F134" s="11" t="n">
        <v>0.4</v>
      </c>
      <c r="G134" s="11" t="n">
        <v>8.199999999999999</v>
      </c>
    </row>
    <row r="135">
      <c r="A135" s="10" t="n">
        <v>16</v>
      </c>
      <c r="B135" s="9" t="inlineStr">
        <is>
          <t>31.05.2026</t>
        </is>
      </c>
      <c r="C135" s="9" t="inlineStr">
        <is>
          <t>8.3</t>
        </is>
      </c>
      <c r="D135" s="9" t="inlineStr">
        <is>
          <t>Dokumentasjon</t>
        </is>
      </c>
      <c r="E135" s="22" t="n">
        <v>1</v>
      </c>
      <c r="F135" s="11" t="n">
        <v>0.3</v>
      </c>
      <c r="G135" s="11" t="n">
        <v>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8" customWidth="1" min="7" max="7"/>
    <col width="8" customWidth="1" min="8" max="8"/>
  </cols>
  <sheetData>
    <row r="1">
      <c r="A1" s="6" t="inlineStr">
        <is>
          <t>Måned-for-måned PV/EV/AC for direkte sammenligning i MS Project</t>
        </is>
      </c>
    </row>
    <row r="3">
      <c r="A3" s="8" t="inlineStr">
        <is>
          <t>Mnd</t>
        </is>
      </c>
      <c r="B3" s="8" t="inlineStr">
        <is>
          <t>Periode</t>
        </is>
      </c>
      <c r="C3" s="8" t="inlineStr">
        <is>
          <t>Statusdato</t>
        </is>
      </c>
      <c r="D3" s="8" t="inlineStr">
        <is>
          <t>PV kum (MNOK)</t>
        </is>
      </c>
      <c r="E3" s="8" t="inlineStr">
        <is>
          <t>EV kum (MNOK)</t>
        </is>
      </c>
      <c r="F3" s="8" t="inlineStr">
        <is>
          <t>AC kum (MNOK)</t>
        </is>
      </c>
      <c r="G3" s="8" t="inlineStr">
        <is>
          <t>CPI</t>
        </is>
      </c>
      <c r="H3" s="8" t="inlineStr">
        <is>
          <t>SPI</t>
        </is>
      </c>
    </row>
    <row r="4">
      <c r="A4" s="10" t="n">
        <v>1</v>
      </c>
      <c r="B4" s="9" t="inlineStr">
        <is>
          <t>Februar 2025</t>
        </is>
      </c>
      <c r="C4" s="9" t="inlineStr">
        <is>
          <t>28.02.2025</t>
        </is>
      </c>
      <c r="D4" s="11" t="n">
        <v>20.825</v>
      </c>
      <c r="E4" s="11" t="n">
        <v>24.49</v>
      </c>
      <c r="F4" s="11" t="n">
        <v>24.2</v>
      </c>
      <c r="G4" s="23" t="n">
        <v>1.01198347107438</v>
      </c>
      <c r="H4" s="23" t="n">
        <v>1.175990396158463</v>
      </c>
    </row>
    <row r="5">
      <c r="A5" s="10" t="n">
        <v>2</v>
      </c>
      <c r="B5" s="9" t="inlineStr">
        <is>
          <t>Mars 2025</t>
        </is>
      </c>
      <c r="C5" s="9" t="inlineStr">
        <is>
          <t>31.03.2025</t>
        </is>
      </c>
      <c r="D5" s="11" t="n">
        <v>41.65</v>
      </c>
      <c r="E5" s="11" t="n">
        <v>52.20999999999999</v>
      </c>
      <c r="F5" s="11" t="n">
        <v>52.1</v>
      </c>
      <c r="G5" s="23" t="n">
        <v>1.002111324376199</v>
      </c>
      <c r="H5" s="23" t="n">
        <v>1.253541416566627</v>
      </c>
    </row>
    <row r="6">
      <c r="A6" s="10" t="n">
        <v>3</v>
      </c>
      <c r="B6" s="9" t="inlineStr">
        <is>
          <t>April 2025</t>
        </is>
      </c>
      <c r="C6" s="9" t="inlineStr">
        <is>
          <t>30.04.2025</t>
        </is>
      </c>
      <c r="D6" s="11" t="n">
        <v>62.475</v>
      </c>
      <c r="E6" s="11" t="n">
        <v>73.58</v>
      </c>
      <c r="F6" s="11" t="n">
        <v>73.40000000000001</v>
      </c>
      <c r="G6" s="23" t="n">
        <v>1.002452316076294</v>
      </c>
      <c r="H6" s="23" t="n">
        <v>1.177751100440176</v>
      </c>
    </row>
    <row r="7">
      <c r="A7" s="10" t="n">
        <v>4</v>
      </c>
      <c r="B7" s="9" t="inlineStr">
        <is>
          <t>Mai 2025</t>
        </is>
      </c>
      <c r="C7" s="9" t="inlineStr">
        <is>
          <t>31.05.2025</t>
        </is>
      </c>
      <c r="D7" s="11" t="n">
        <v>97.63333333333333</v>
      </c>
      <c r="E7" s="11" t="n">
        <v>96.53999999999999</v>
      </c>
      <c r="F7" s="11" t="n">
        <v>96.59999999999999</v>
      </c>
      <c r="G7" s="23" t="n">
        <v>0.9993788819875776</v>
      </c>
      <c r="H7" s="23" t="n">
        <v>0.9888016387845681</v>
      </c>
    </row>
    <row r="8">
      <c r="A8" s="10" t="n">
        <v>5</v>
      </c>
      <c r="B8" s="9" t="inlineStr">
        <is>
          <t>Juni 2025</t>
        </is>
      </c>
      <c r="C8" s="9" t="inlineStr">
        <is>
          <t>30.06.2025</t>
        </is>
      </c>
      <c r="D8" s="11" t="n">
        <v>121.625</v>
      </c>
      <c r="E8" s="11" t="n">
        <v>120.22</v>
      </c>
      <c r="F8" s="11" t="n">
        <v>120.1</v>
      </c>
      <c r="G8" s="23" t="n">
        <v>1.000999167360533</v>
      </c>
      <c r="H8" s="23" t="n">
        <v>0.9884480986639261</v>
      </c>
    </row>
    <row r="9">
      <c r="A9" s="10" t="n">
        <v>6</v>
      </c>
      <c r="B9" s="9" t="inlineStr">
        <is>
          <t>Juli 2025</t>
        </is>
      </c>
      <c r="C9" s="9" t="inlineStr">
        <is>
          <t>31.07.2025</t>
        </is>
      </c>
      <c r="D9" s="11" t="n">
        <v>136.6166666666667</v>
      </c>
      <c r="E9" s="11" t="n">
        <v>149.54</v>
      </c>
      <c r="F9" s="11" t="n">
        <v>149.4</v>
      </c>
      <c r="G9" s="23" t="n">
        <v>1.000937081659973</v>
      </c>
      <c r="H9" s="23" t="n">
        <v>1.094595583750153</v>
      </c>
    </row>
    <row r="10">
      <c r="A10" s="10" t="n">
        <v>7</v>
      </c>
      <c r="B10" s="9" t="inlineStr">
        <is>
          <t>August 2025</t>
        </is>
      </c>
      <c r="C10" s="9" t="inlineStr">
        <is>
          <t>31.08.2025</t>
        </is>
      </c>
      <c r="D10" s="11" t="n">
        <v>214.1083333333333</v>
      </c>
      <c r="E10" s="11" t="n">
        <v>216.82</v>
      </c>
      <c r="F10" s="11" t="n">
        <v>216.1</v>
      </c>
      <c r="G10" s="23" t="n">
        <v>1.003331790837575</v>
      </c>
      <c r="H10" s="23" t="n">
        <v>1.012664928190558</v>
      </c>
    </row>
    <row r="11">
      <c r="A11" s="10" t="n">
        <v>8</v>
      </c>
      <c r="B11" s="9" t="inlineStr">
        <is>
          <t>September 2025</t>
        </is>
      </c>
      <c r="C11" s="9" t="inlineStr">
        <is>
          <t>30.09.2025</t>
        </is>
      </c>
      <c r="D11" s="11" t="n">
        <v>274.2666666666667</v>
      </c>
      <c r="E11" s="11" t="n">
        <v>272.45</v>
      </c>
      <c r="F11" s="11" t="n">
        <v>273.6</v>
      </c>
      <c r="G11" s="23" t="n">
        <v>0.9957967836257309</v>
      </c>
      <c r="H11" s="23" t="n">
        <v>0.9933762761302868</v>
      </c>
    </row>
    <row r="12">
      <c r="A12" s="10" t="n">
        <v>9</v>
      </c>
      <c r="B12" s="9" t="inlineStr">
        <is>
          <t>Oktober 2025</t>
        </is>
      </c>
      <c r="C12" s="9" t="inlineStr">
        <is>
          <t>31.10.2025</t>
        </is>
      </c>
      <c r="D12" s="11" t="n">
        <v>323.925</v>
      </c>
      <c r="E12" s="11" t="n">
        <v>324.67</v>
      </c>
      <c r="F12" s="11" t="n">
        <v>324.3</v>
      </c>
      <c r="G12" s="23" t="n">
        <v>1.001140918902251</v>
      </c>
      <c r="H12" s="23" t="n">
        <v>1.002299915103805</v>
      </c>
    </row>
    <row r="13">
      <c r="A13" s="10" t="n">
        <v>10</v>
      </c>
      <c r="B13" s="9" t="inlineStr">
        <is>
          <t>November 2025</t>
        </is>
      </c>
      <c r="C13" s="9" t="inlineStr">
        <is>
          <t>30.11.2025</t>
        </is>
      </c>
      <c r="D13" s="11" t="n">
        <v>373.5833333333333</v>
      </c>
      <c r="E13" s="11" t="n">
        <v>374.28</v>
      </c>
      <c r="F13" s="11" t="n">
        <v>373.4</v>
      </c>
      <c r="G13" s="23" t="n">
        <v>1.002356722013926</v>
      </c>
      <c r="H13" s="23" t="n">
        <v>1.001864822663395</v>
      </c>
    </row>
    <row r="14">
      <c r="A14" s="10" t="n">
        <v>11</v>
      </c>
      <c r="B14" s="9" t="inlineStr">
        <is>
          <t>Desember 2025</t>
        </is>
      </c>
      <c r="C14" s="9" t="inlineStr">
        <is>
          <t>31.12.2025</t>
        </is>
      </c>
      <c r="D14" s="11" t="n">
        <v>423.2416666666667</v>
      </c>
      <c r="E14" s="11" t="n">
        <v>424.14</v>
      </c>
      <c r="F14" s="11" t="n">
        <v>424.1</v>
      </c>
      <c r="G14" s="23" t="n">
        <v>1.000094317377977</v>
      </c>
      <c r="H14" s="23" t="n">
        <v>1.002122506842033</v>
      </c>
    </row>
    <row r="15">
      <c r="A15" s="10" t="n">
        <v>12</v>
      </c>
      <c r="B15" s="9" t="inlineStr">
        <is>
          <t>Januar 2026</t>
        </is>
      </c>
      <c r="C15" s="9" t="inlineStr">
        <is>
          <t>31.01.2026</t>
        </is>
      </c>
      <c r="D15" s="11" t="n">
        <v>517.4000000000001</v>
      </c>
      <c r="E15" s="11" t="n">
        <v>540.9683333333335</v>
      </c>
      <c r="F15" s="11" t="n">
        <v>543.3</v>
      </c>
      <c r="G15" s="23" t="n">
        <v>0.9957083256641516</v>
      </c>
      <c r="H15" s="23" t="n">
        <v>1.045551475325345</v>
      </c>
    </row>
    <row r="16">
      <c r="A16" s="10" t="n">
        <v>13</v>
      </c>
      <c r="B16" s="9" t="inlineStr">
        <is>
          <t>Februar 2026</t>
        </is>
      </c>
      <c r="C16" s="9" t="inlineStr">
        <is>
          <t>28.02.2026</t>
        </is>
      </c>
      <c r="D16" s="11" t="n">
        <v>611.5583333333333</v>
      </c>
      <c r="E16" s="11" t="n">
        <v>638.4566666666667</v>
      </c>
      <c r="F16" s="11" t="n">
        <v>638.4</v>
      </c>
      <c r="G16" s="23" t="n">
        <v>1.000088763575606</v>
      </c>
      <c r="H16" s="23" t="n">
        <v>1.043983266791121</v>
      </c>
    </row>
    <row r="17">
      <c r="A17" s="10" t="n">
        <v>14</v>
      </c>
      <c r="B17" s="9" t="inlineStr">
        <is>
          <t>Mars 2026</t>
        </is>
      </c>
      <c r="C17" s="9" t="inlineStr">
        <is>
          <t>31.03.2026</t>
        </is>
      </c>
      <c r="D17" s="11" t="n">
        <v>708.2166666666667</v>
      </c>
      <c r="E17" s="11" t="n">
        <v>762.615</v>
      </c>
      <c r="F17" s="11" t="n">
        <v>763</v>
      </c>
      <c r="G17" s="23" t="n">
        <v>0.9994954128440368</v>
      </c>
      <c r="H17" s="23" t="n">
        <v>1.076810298166757</v>
      </c>
    </row>
    <row r="18">
      <c r="A18" s="10" t="n">
        <v>15</v>
      </c>
      <c r="B18" s="9" t="inlineStr">
        <is>
          <t>April 2026</t>
        </is>
      </c>
      <c r="C18" s="9" t="inlineStr">
        <is>
          <t>30.04.2026</t>
        </is>
      </c>
      <c r="D18" s="11" t="n">
        <v>785.875</v>
      </c>
      <c r="E18" s="11" t="n">
        <v>791.6900000000001</v>
      </c>
      <c r="F18" s="11" t="n">
        <v>791.8</v>
      </c>
      <c r="G18" s="23" t="n">
        <v>0.9998610760293004</v>
      </c>
      <c r="H18" s="23" t="n">
        <v>1.007399395578177</v>
      </c>
    </row>
    <row r="19">
      <c r="A19" s="10" t="n">
        <v>16</v>
      </c>
      <c r="B19" s="9" t="inlineStr">
        <is>
          <t>Mai 2026</t>
        </is>
      </c>
      <c r="C19" s="9" t="inlineStr">
        <is>
          <t>31.05.2026</t>
        </is>
      </c>
      <c r="D19" s="11" t="n">
        <v>800</v>
      </c>
      <c r="E19" s="11" t="n">
        <v>800</v>
      </c>
      <c r="F19" s="11" t="n">
        <v>800</v>
      </c>
      <c r="G19" s="23" t="n">
        <v>1</v>
      </c>
      <c r="H19" s="23" t="n">
        <v>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2026-05-15T18:51:28Z</dcterms:created>
  <dcterms:modified xmlns:dcterms="http://purl.org/dc/terms/" xmlns:xsi="http://www.w3.org/2001/XMLSchema-instance" xsi:type="dcterms:W3CDTF">2026-05-15T18:51:28Z</dcterms:modified>
</cp:coreProperties>
</file>